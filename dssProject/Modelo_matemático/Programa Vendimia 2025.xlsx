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15" documentId="8_{9A5E597C-77C9-47B6-8AD0-98953A13F171}" xr6:coauthVersionLast="47" xr6:coauthVersionMax="47" xr10:uidLastSave="{CDCF975A-97C2-4717-9365-2FC39A708719}"/>
  <bookViews>
    <workbookView xWindow="-108" yWindow="-108" windowWidth="23256" windowHeight="12456" xr2:uid="{00000000-000D-0000-FFFF-FFFF00000000}"/>
  </bookViews>
  <sheets>
    <sheet name="Gral" sheetId="1" r:id="rId1"/>
    <sheet name="DIARIOxBLOQUE" sheetId="2" r:id="rId2"/>
  </sheets>
  <definedNames>
    <definedName name="_xlnm._FilterDatabase" localSheetId="1" hidden="1">DIARIOxBLOQUE!$A$4:$J$4</definedName>
    <definedName name="_xlnm._FilterDatabase" localSheetId="0" hidden="1">Gral!$A$5:$DC$123</definedName>
    <definedName name="_xlnm.Print_Area" localSheetId="1">DIARIOxBLOQUE!$A$1:$J$57</definedName>
    <definedName name="_xlnm.Print_Area" localSheetId="0">Gral!$A$1:$AV$124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1" l="1"/>
  <c r="J40" i="1" s="1"/>
  <c r="K10" i="1"/>
  <c r="I57" i="2"/>
  <c r="J54" i="2"/>
  <c r="J48" i="2"/>
  <c r="J42" i="2"/>
  <c r="J40" i="2"/>
  <c r="J28" i="2"/>
  <c r="K118" i="1"/>
  <c r="J118" i="1" s="1"/>
  <c r="K119" i="1"/>
  <c r="J119" i="1" s="1"/>
  <c r="K117" i="1"/>
  <c r="J117" i="1" s="1"/>
  <c r="J23" i="2"/>
  <c r="J16" i="2"/>
  <c r="J7" i="2"/>
  <c r="K100" i="1"/>
  <c r="J100" i="1" s="1"/>
  <c r="K116" i="1"/>
  <c r="J116" i="1" s="1"/>
  <c r="K115" i="1"/>
  <c r="J115" i="1" s="1"/>
  <c r="K114" i="1"/>
  <c r="J114" i="1" s="1"/>
  <c r="K113" i="1"/>
  <c r="J113" i="1"/>
  <c r="K112" i="1"/>
  <c r="J112" i="1" s="1"/>
  <c r="K111" i="1"/>
  <c r="J111" i="1" s="1"/>
  <c r="K110" i="1"/>
  <c r="J110" i="1" s="1"/>
  <c r="K109" i="1"/>
  <c r="J109" i="1" s="1"/>
  <c r="K108" i="1"/>
  <c r="J108" i="1" s="1"/>
  <c r="K107" i="1"/>
  <c r="J107" i="1"/>
  <c r="K106" i="1"/>
  <c r="J106" i="1"/>
  <c r="K105" i="1"/>
  <c r="J105" i="1" s="1"/>
  <c r="K104" i="1"/>
  <c r="J104" i="1" s="1"/>
  <c r="K103" i="1"/>
  <c r="J103" i="1" s="1"/>
  <c r="K102" i="1"/>
  <c r="J102" i="1" s="1"/>
  <c r="K23" i="1"/>
  <c r="J23" i="1"/>
  <c r="K26" i="1"/>
  <c r="J26" i="1" s="1"/>
  <c r="K45" i="1"/>
  <c r="J45" i="1" s="1"/>
  <c r="K33" i="1"/>
  <c r="J33" i="1" s="1"/>
  <c r="K25" i="1"/>
  <c r="J25" i="1" s="1"/>
  <c r="K14" i="1"/>
  <c r="J14" i="1" s="1"/>
  <c r="K9" i="1" l="1"/>
  <c r="J9" i="1" s="1"/>
  <c r="K54" i="1" l="1"/>
  <c r="J54" i="1" s="1"/>
  <c r="K19" i="1"/>
  <c r="J19" i="1" s="1"/>
  <c r="K64" i="1" l="1"/>
  <c r="J64" i="1" s="1"/>
  <c r="K94" i="1" l="1"/>
  <c r="J94" i="1" s="1"/>
  <c r="K93" i="1"/>
  <c r="J93" i="1" s="1"/>
  <c r="K21" i="1"/>
  <c r="J21" i="1" s="1"/>
  <c r="K22" i="1"/>
  <c r="J22" i="1" s="1"/>
  <c r="K91" i="1" l="1"/>
  <c r="J91" i="1" s="1"/>
  <c r="K99" i="1" l="1"/>
  <c r="J99" i="1" s="1"/>
  <c r="K101" i="1"/>
  <c r="J101" i="1" s="1"/>
  <c r="K88" i="1"/>
  <c r="J88" i="1" s="1"/>
  <c r="K17" i="1"/>
  <c r="J17" i="1" s="1"/>
  <c r="K18" i="1"/>
  <c r="J18" i="1" s="1"/>
  <c r="K77" i="1"/>
  <c r="J77" i="1" s="1"/>
  <c r="K79" i="1" l="1"/>
  <c r="J79" i="1" s="1"/>
  <c r="K80" i="1"/>
  <c r="J80" i="1" s="1"/>
  <c r="K85" i="1"/>
  <c r="J85" i="1" s="1"/>
  <c r="K81" i="1"/>
  <c r="J81" i="1" s="1"/>
  <c r="K6" i="1" l="1"/>
  <c r="K7" i="1"/>
  <c r="K11" i="1"/>
  <c r="K12" i="1"/>
  <c r="K13" i="1"/>
  <c r="K15" i="1"/>
  <c r="K16" i="1"/>
  <c r="K20" i="1"/>
  <c r="K24" i="1"/>
  <c r="K27" i="1"/>
  <c r="K28" i="1"/>
  <c r="K29" i="1"/>
  <c r="K30" i="1"/>
  <c r="K31" i="1"/>
  <c r="K32" i="1"/>
  <c r="K34" i="1"/>
  <c r="K35" i="1"/>
  <c r="K36" i="1"/>
  <c r="K38" i="1"/>
  <c r="K39" i="1"/>
  <c r="K41" i="1"/>
  <c r="K42" i="1"/>
  <c r="K43" i="1"/>
  <c r="K44" i="1"/>
  <c r="K46" i="1"/>
  <c r="K47" i="1"/>
  <c r="K48" i="1"/>
  <c r="K49" i="1"/>
  <c r="K51" i="1"/>
  <c r="K52" i="1"/>
  <c r="K53" i="1"/>
  <c r="K55" i="1"/>
  <c r="K56" i="1"/>
  <c r="K57" i="1"/>
  <c r="K58" i="1"/>
  <c r="K59" i="1"/>
  <c r="K60" i="1"/>
  <c r="K61" i="1"/>
  <c r="K62" i="1"/>
  <c r="K63" i="1"/>
  <c r="K65" i="1"/>
  <c r="K66" i="1"/>
  <c r="K67" i="1"/>
  <c r="K68" i="1"/>
  <c r="K69" i="1"/>
  <c r="K70" i="1"/>
  <c r="K71" i="1"/>
  <c r="K72" i="1"/>
  <c r="K73" i="1"/>
  <c r="K74" i="1"/>
  <c r="K75" i="1"/>
  <c r="K76" i="1"/>
  <c r="K78" i="1"/>
  <c r="K82" i="1"/>
  <c r="K83" i="1"/>
  <c r="K84" i="1"/>
  <c r="K86" i="1"/>
  <c r="K87" i="1"/>
  <c r="K89" i="1"/>
  <c r="K90" i="1"/>
  <c r="K92" i="1"/>
  <c r="K95" i="1"/>
  <c r="K96" i="1"/>
  <c r="K97" i="1"/>
  <c r="K98" i="1"/>
  <c r="K121" i="1"/>
  <c r="K8" i="1"/>
  <c r="K50" i="1"/>
  <c r="K37" i="1"/>
  <c r="K122" i="1"/>
  <c r="J122" i="1" s="1"/>
  <c r="K123" i="1"/>
  <c r="J123" i="1" s="1"/>
  <c r="K124" i="1" l="1"/>
  <c r="J15" i="1"/>
  <c r="J83" i="1" l="1"/>
  <c r="J90" i="1"/>
  <c r="J76" i="1"/>
  <c r="J78" i="1"/>
  <c r="J44" i="1" l="1"/>
  <c r="J98" i="1"/>
  <c r="J92" i="1"/>
  <c r="J59" i="1"/>
  <c r="J51" i="1"/>
  <c r="J24" i="1" l="1"/>
  <c r="J10" i="1" l="1"/>
  <c r="J16" i="1" l="1"/>
  <c r="J47" i="1"/>
  <c r="J48" i="1"/>
  <c r="J49" i="1"/>
  <c r="J12" i="1" l="1"/>
  <c r="J82" i="1"/>
  <c r="J68" i="1" l="1"/>
  <c r="J121" i="1"/>
  <c r="J43" i="1" l="1"/>
  <c r="J89" i="1"/>
  <c r="J29" i="1" l="1"/>
  <c r="J84" i="1" l="1"/>
  <c r="J95" i="1"/>
  <c r="J27" i="1"/>
  <c r="J20" i="1"/>
  <c r="J55" i="1" l="1"/>
  <c r="J58" i="1"/>
  <c r="W3" i="1" l="1"/>
  <c r="Z3" i="1"/>
  <c r="J97" i="1" l="1"/>
  <c r="J96" i="1"/>
  <c r="J75" i="1"/>
  <c r="J6" i="1"/>
  <c r="J86" i="1" l="1"/>
  <c r="J87" i="1"/>
  <c r="J69" i="1"/>
  <c r="J70" i="1"/>
  <c r="J56" i="1" l="1"/>
  <c r="J57" i="1"/>
  <c r="J50" i="1" l="1"/>
  <c r="J37" i="1"/>
  <c r="J31" i="1"/>
  <c r="J32" i="1"/>
  <c r="J35" i="1"/>
  <c r="J36" i="1"/>
  <c r="J52" i="1"/>
  <c r="J60" i="1"/>
  <c r="J61" i="1"/>
  <c r="J63" i="1"/>
  <c r="J65" i="1"/>
  <c r="J66" i="1"/>
  <c r="J39" i="1" l="1"/>
  <c r="J67" i="1"/>
  <c r="J30" i="1"/>
  <c r="J34" i="1"/>
  <c r="J53" i="1"/>
  <c r="J38" i="1"/>
  <c r="J62" i="1"/>
  <c r="J7" i="1"/>
  <c r="J11" i="1"/>
  <c r="J41" i="1"/>
  <c r="J42" i="1"/>
  <c r="J71" i="1"/>
  <c r="J72" i="1"/>
  <c r="J73" i="1"/>
  <c r="J8" i="1"/>
  <c r="J13" i="1" l="1"/>
  <c r="L3" i="1"/>
  <c r="J28" i="1"/>
  <c r="J74" i="1"/>
  <c r="J46" i="1"/>
  <c r="M3" i="1"/>
  <c r="N3" i="1"/>
  <c r="O3" i="1"/>
  <c r="P3" i="1"/>
  <c r="Q3" i="1"/>
  <c r="R3" i="1"/>
  <c r="S3" i="1"/>
  <c r="T3" i="1"/>
  <c r="U3" i="1"/>
  <c r="V3" i="1"/>
  <c r="X3" i="1"/>
  <c r="Y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AS2" i="1" l="1"/>
  <c r="BE2" i="1"/>
  <c r="J124" i="1"/>
  <c r="CV2" i="1"/>
  <c r="CA2" i="1"/>
  <c r="CH2" i="1"/>
  <c r="CO2" i="1"/>
  <c r="BL2" i="1"/>
  <c r="BF2" i="1"/>
  <c r="AY2" i="1"/>
  <c r="AR2" i="1"/>
  <c r="W2" i="1"/>
  <c r="CY2" i="1"/>
  <c r="CQ2" i="1"/>
  <c r="AK2" i="1"/>
  <c r="P2" i="1"/>
  <c r="CP2" i="1"/>
  <c r="AD2" i="1"/>
  <c r="CX2" i="1"/>
  <c r="AZ2" i="1"/>
  <c r="CW2" i="1"/>
  <c r="DA2" i="1"/>
  <c r="DB2" i="1"/>
  <c r="DC2" i="1"/>
  <c r="CZ2" i="1"/>
  <c r="BT2" i="1"/>
  <c r="M5" i="1" l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l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tc={91CCE2B2-1236-4862-9F01-10AAA1DA3506}</author>
    <author>tc={6A15F6C8-4CA3-401E-95D0-2F550AE0989C}</author>
    <author>tc={42A07F65-0919-4CEF-99BB-4B81CD799A84}</author>
    <author>tc={E7E7131B-B1C1-4B1D-840B-08A9FB14A8FD}</author>
  </authors>
  <commentList>
    <comment ref="AN58" authorId="0" shapeId="0" xr:uid="{91CCE2B2-1236-4862-9F01-10AAA1DA350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DOMINGO NOCHE</t>
      </text>
    </comment>
    <comment ref="AN59" authorId="1" shapeId="0" xr:uid="{6A15F6C8-4CA3-401E-95D0-2F550AE0989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DOMINGO NOCHE</t>
      </text>
    </comment>
    <comment ref="AN66" authorId="2" shapeId="0" xr:uid="{42A07F65-0919-4CEF-99BB-4B81CD799A8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DOMINGO NOCHE</t>
      </text>
    </comment>
    <comment ref="AN75" authorId="3" shapeId="0" xr:uid="{E7E7131B-B1C1-4B1D-840B-08A9FB14A8F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DOMINGO NOCHE</t>
      </text>
    </comment>
  </commentList>
</comments>
</file>

<file path=xl/sharedStrings.xml><?xml version="1.0" encoding="utf-8"?>
<sst xmlns="http://schemas.openxmlformats.org/spreadsheetml/2006/main" count="763" uniqueCount="209">
  <si>
    <t>SEMANA</t>
  </si>
  <si>
    <t>TOTAL SEMANAL</t>
  </si>
  <si>
    <t>PROGRAMA  VENDIMIA  2024</t>
  </si>
  <si>
    <t>TOTAL DIARIO</t>
  </si>
  <si>
    <t>FECHA</t>
  </si>
  <si>
    <t>Lunes</t>
  </si>
  <si>
    <t>Martes</t>
  </si>
  <si>
    <t>Miércoles</t>
  </si>
  <si>
    <t>Jueves</t>
  </si>
  <si>
    <t>Viernes</t>
  </si>
  <si>
    <t>Sábado</t>
  </si>
  <si>
    <t>Domingo</t>
  </si>
  <si>
    <t>CTTO</t>
  </si>
  <si>
    <t>PRODUCTOR</t>
  </si>
  <si>
    <t>VARIEDAD</t>
  </si>
  <si>
    <t>CODIGO</t>
  </si>
  <si>
    <t>BLOQUE</t>
  </si>
  <si>
    <t>N° ANDÉN</t>
  </si>
  <si>
    <t>MOLIENDA</t>
  </si>
  <si>
    <t>EST</t>
  </si>
  <si>
    <t>KG CTTO</t>
  </si>
  <si>
    <t>POR PROGRAMAR</t>
  </si>
  <si>
    <t>PROGRAMADO</t>
  </si>
  <si>
    <t>FUNDO AGUA SANTA - PERALILLO CYT</t>
  </si>
  <si>
    <t>SAUVIGNON BLANC (AM) GE PERALILLO</t>
  </si>
  <si>
    <t>R. MOLIDO</t>
  </si>
  <si>
    <t>VG</t>
  </si>
  <si>
    <t>FUNDO CHOMEDAHUE CYT</t>
  </si>
  <si>
    <t>CHARDONNAY BL CENTRAL (PARRON)</t>
  </si>
  <si>
    <t>R. ENTERO</t>
  </si>
  <si>
    <t>SAUVIGNON BLANC (AM) GE SANTA CRUZ</t>
  </si>
  <si>
    <t>SAUVIGNON BLANC (AM) BL SANTA CRUZ</t>
  </si>
  <si>
    <t>FUNDO EL BOLDO CYT</t>
  </si>
  <si>
    <t>FUNDO EL DURAZNO CYT</t>
  </si>
  <si>
    <t>CABERNET SAUVIGNON GE PEUMO</t>
  </si>
  <si>
    <t>MOSCATEL ALEJANDRIA GE PEUMO</t>
  </si>
  <si>
    <t>FUNDO EL MIRADOR CYT</t>
  </si>
  <si>
    <t>PINOT GRIS BL MOLINA</t>
  </si>
  <si>
    <t>PINOT GRIS PC MOLINA</t>
  </si>
  <si>
    <t>SAUVIGNON BLANC AM PC MOLINA</t>
  </si>
  <si>
    <t>FUNDO EL TRIANGULO CYT</t>
  </si>
  <si>
    <t>SAUVIGNON BLANC (AM) PC CASABL</t>
  </si>
  <si>
    <t>FUNDO IDAHUE CYT</t>
  </si>
  <si>
    <t>CHARDONNAY BL PEUMO</t>
  </si>
  <si>
    <t>T</t>
  </si>
  <si>
    <t>SAUVIGNON BLANC (AM) BL PEUMO</t>
  </si>
  <si>
    <t>FUNDO LAS MERCEDES CYT</t>
  </si>
  <si>
    <t>FUNDO LLALLAUQUÉN CYT</t>
  </si>
  <si>
    <t>FUNDO LOS PERALES CYT</t>
  </si>
  <si>
    <t>FUNDO MARIPOSAS CYT</t>
  </si>
  <si>
    <t>SAUVIGNON BLANC AM BL SAN CLEMENTE</t>
  </si>
  <si>
    <t>GEWURZTRAMINER VA SAN CLEMENTE</t>
  </si>
  <si>
    <t>FUNDO PALO SANTO CYT</t>
  </si>
  <si>
    <t>SAUVIGNON BLANC GE MARCHIGUE</t>
  </si>
  <si>
    <t>FUNDO PEUMO CYT</t>
  </si>
  <si>
    <t>FUNDO QUEBRADA DE AGUA CYT</t>
  </si>
  <si>
    <t>SAUVIGNON BLANC (AM) BL SAN CLEMENTE</t>
  </si>
  <si>
    <t>#</t>
  </si>
  <si>
    <t>FUNDO QUIAHUE CYT</t>
  </si>
  <si>
    <t>CHARDONNAY BL LOLOL</t>
  </si>
  <si>
    <t>GEWURZTRAMINER VA LOLOL</t>
  </si>
  <si>
    <t>SAUVIGNON BLANC (AM) BL LOLOL</t>
  </si>
  <si>
    <t>SAUVIGNON GRIS BL LOLOL</t>
  </si>
  <si>
    <t>FUNDO RAUCO CYT</t>
  </si>
  <si>
    <t>CHARDONNAY BL RAUCO</t>
  </si>
  <si>
    <t>PEDRO JIMENEZ GE RAUCO</t>
  </si>
  <si>
    <t>SAUVIGNON BLANC (AM) BL RAUCO</t>
  </si>
  <si>
    <t>FUNDO SAN IGNACIO CYT</t>
  </si>
  <si>
    <t>CHARDONNAY BL MOLINA</t>
  </si>
  <si>
    <t>SAUVIGNON BLANC (AM) BL MOLINA</t>
  </si>
  <si>
    <t>VIOGNIER VA MOLINA</t>
  </si>
  <si>
    <t>FUNDO SAN MANUEL CYT</t>
  </si>
  <si>
    <t>FUNDO SANTA ISABEL CYT</t>
  </si>
  <si>
    <t>SAUVIGNON BLANC (AM) PC PIRQUE</t>
  </si>
  <si>
    <t>FUNDO SANTA RAQUEL CYT</t>
  </si>
  <si>
    <t>CHARDONNAY BL PENCAHUE</t>
  </si>
  <si>
    <t>CHENIN BLANC  GE PENCAHUE</t>
  </si>
  <si>
    <t>PINOT GRIS BL PENCAHUE</t>
  </si>
  <si>
    <t>PINOT GRIS GE PENCAHUE</t>
  </si>
  <si>
    <t>FUNDO UCUQUER CYT</t>
  </si>
  <si>
    <t>CHARDONNAY PC LITUECHE</t>
  </si>
  <si>
    <t>SAUVIGNON BLANC (AM) PC LITUEC</t>
  </si>
  <si>
    <t>FUNDO YUNGAY CYT</t>
  </si>
  <si>
    <t>SAUVIGNON BLANC AM BL MOLINA</t>
  </si>
  <si>
    <t>AGRICOLA LOS FRESNOS S.A.</t>
  </si>
  <si>
    <t>AGRICOLA AITUE LTDA</t>
  </si>
  <si>
    <t>AGRICOLA BERRIES ROMA LTDA.</t>
  </si>
  <si>
    <t>CHARDONNAY BL SAN FERNANDO</t>
  </si>
  <si>
    <t>AGRICOLA DON EDUARDO S.A.</t>
  </si>
  <si>
    <t>CHARDONNAY GE NANCAGUA (PLACILLA)</t>
  </si>
  <si>
    <t>SAUVIGNON BLANC (AM) GE NANCAGUA (PLACIL</t>
  </si>
  <si>
    <t>AGRICOLA EL FUERTE LIMITADA</t>
  </si>
  <si>
    <t>SAUVIGNON BLANC (AM) GE TALCA</t>
  </si>
  <si>
    <t>AGRICOLA JAIME CORNEJO ABARCA Y CIA LTDA</t>
  </si>
  <si>
    <t>SEMILLON GE SAN FERNANDO</t>
  </si>
  <si>
    <t>1253</t>
  </si>
  <si>
    <t>AGRICOLA LA AURORA LTDA.</t>
  </si>
  <si>
    <t>CHARDONNAY BL SAN CLEMENTE</t>
  </si>
  <si>
    <t>253</t>
  </si>
  <si>
    <t>SAUVIGNON BLANC AM PC SAN CLEM</t>
  </si>
  <si>
    <t>147</t>
  </si>
  <si>
    <t>AGRICOLA LA VEGA S.A</t>
  </si>
  <si>
    <t>SAUVIGNON BLANC (AM) GE MOLINA</t>
  </si>
  <si>
    <t>14</t>
  </si>
  <si>
    <t>AGRICOLA LOURDES SPA</t>
  </si>
  <si>
    <t>17</t>
  </si>
  <si>
    <t>AGRICOLA MINA DEL AGUA LTDA.</t>
  </si>
  <si>
    <t>1145</t>
  </si>
  <si>
    <t>AGRICOLA PILQUICURA LTDA.</t>
  </si>
  <si>
    <t>CHARDONNAY BL CAUQUENES</t>
  </si>
  <si>
    <t>SAUVIGNON BLANC (AM) BL CAUQUENES</t>
  </si>
  <si>
    <t>267</t>
  </si>
  <si>
    <t>AGRICOLA SAN NICOLAS LTDA.</t>
  </si>
  <si>
    <t>SAUVIGNON BLANC AM PC MELIPILL</t>
  </si>
  <si>
    <t>115</t>
  </si>
  <si>
    <t>AGRICOLA TRABUN LTDA</t>
  </si>
  <si>
    <t>SAUVIGNON BLANC (AM) PC REQUINOA</t>
  </si>
  <si>
    <t>19</t>
  </si>
  <si>
    <t>AGRICOLA TRES LUGARES SPA</t>
  </si>
  <si>
    <t>27</t>
  </si>
  <si>
    <t>BEATRIZ ELENA ESPINOZA CASTRO</t>
  </si>
  <si>
    <t>SAUVIGNON BLANC (AM) GE SAGRADA FAMILIA</t>
  </si>
  <si>
    <t>142</t>
  </si>
  <si>
    <t>CLAUDIO HERNAN RAMIREZ NORAMBUENA</t>
  </si>
  <si>
    <t>SAUVIGNON BLANC (AM) BL SAN JAVIER</t>
  </si>
  <si>
    <t>37</t>
  </si>
  <si>
    <t>COMERCIAL Y SERVICIOS AGRICOLAS IÑIGO UNDURRAGA MARTÍNEZ EIRL</t>
  </si>
  <si>
    <t>1030</t>
  </si>
  <si>
    <t>GIOVANNI MORATELLI SOLAR</t>
  </si>
  <si>
    <t>CHARDONNAY GE RENGO</t>
  </si>
  <si>
    <t>180</t>
  </si>
  <si>
    <t>HARAS SANTA MARIANA S.A.</t>
  </si>
  <si>
    <t>189</t>
  </si>
  <si>
    <t>HUERTOS DE UCUQUER SPA</t>
  </si>
  <si>
    <t>143</t>
  </si>
  <si>
    <t>INMOBILIARIA KRAMBERRIES LIMITADA</t>
  </si>
  <si>
    <t>SAUVIGNON BLANC (AM) GE SAN CLEMENTE</t>
  </si>
  <si>
    <t>1237</t>
  </si>
  <si>
    <t>INVERSIONES E INMOBILIARIA RH LTDA.</t>
  </si>
  <si>
    <t>SAUVIGNON BLANC (AM) BL TALCA</t>
  </si>
  <si>
    <t>213</t>
  </si>
  <si>
    <t>JUAN EDUARDO VEGA DEL RIO</t>
  </si>
  <si>
    <t>SAUVIGNON BLANC (AM) GE CAUQUENES</t>
  </si>
  <si>
    <t>211</t>
  </si>
  <si>
    <t>JUAN EDUARDO VEGA DEL RIO  Y CIA. LTDA.</t>
  </si>
  <si>
    <t>139</t>
  </si>
  <si>
    <t>LUIS ENRIQUE VALENZUELA SALINAS</t>
  </si>
  <si>
    <t>SAUVIGNON BLANC (AM) GE PALMILLA</t>
  </si>
  <si>
    <t>36</t>
  </si>
  <si>
    <t>LUIS FELIPE CRUZ PAROT</t>
  </si>
  <si>
    <t>CHARDONNAY PC MULCHEN</t>
  </si>
  <si>
    <t>148</t>
  </si>
  <si>
    <t>LUIS VERGARA MATUS</t>
  </si>
  <si>
    <t>1063</t>
  </si>
  <si>
    <t>MARCELA AMALIA PAROT URZUA</t>
  </si>
  <si>
    <t>63</t>
  </si>
  <si>
    <t>6</t>
  </si>
  <si>
    <t>MARIA CECILIA ROJAS GONZALEZ</t>
  </si>
  <si>
    <t>SAUVIGNON BLANC (AM) BL VILLA ALEGRE</t>
  </si>
  <si>
    <t>85</t>
  </si>
  <si>
    <t>MARIO ENRIQUE VALENZUELA ALBORNOZ</t>
  </si>
  <si>
    <t>CHARDONNAY GE SANTA CRUZ</t>
  </si>
  <si>
    <t>248</t>
  </si>
  <si>
    <t>MARTA CECILIA OSORIO PAVEZ</t>
  </si>
  <si>
    <t>PINOT GRIS BL TALCA</t>
  </si>
  <si>
    <t>82</t>
  </si>
  <si>
    <t>PATRICIO VALENZUELA SALINAS</t>
  </si>
  <si>
    <t>111</t>
  </si>
  <si>
    <t>SOCIEDAD AGRICOLA EL ALMENDRICO LTDA.</t>
  </si>
  <si>
    <t>1294</t>
  </si>
  <si>
    <t>SOCIEDAD AGRICOLA SANTA CRISTINA LTDA</t>
  </si>
  <si>
    <t>83</t>
  </si>
  <si>
    <t>SOCIEDAD AGRICOLA TIERRA DE BACO LTDA.</t>
  </si>
  <si>
    <t>PINOT GRIS GE NANCAGUA (PLACILLA)</t>
  </si>
  <si>
    <t>261311</t>
  </si>
  <si>
    <t>466</t>
  </si>
  <si>
    <t>VICTORIA EUGENIA PAROT BORAGK</t>
  </si>
  <si>
    <t>1150</t>
  </si>
  <si>
    <t>VITIVINICOLA LA LADERA LTDA.</t>
  </si>
  <si>
    <t>SONIA ANITA POZO LUCO</t>
  </si>
  <si>
    <t>SAUVIGNON BLANC (AM) BL SAN CLEM</t>
  </si>
  <si>
    <t>AGRICOLA SANTA MARTA S.A.</t>
  </si>
  <si>
    <t>CHARDONNAY BL TALCA</t>
  </si>
  <si>
    <t>INVERSIONES MUÑOZ Y SAAVEDRA LTDA</t>
  </si>
  <si>
    <t>AGRICOLA Y VITIVINICOLA RODRIGUEZ BRAVO LTDA.</t>
  </si>
  <si>
    <t>CHARDONNAY GE TALCA</t>
  </si>
  <si>
    <t>PEDRO ANTONIO LOZANO MANZANARES</t>
  </si>
  <si>
    <t>JUAN CARLOS CABELLO MARAMBIO</t>
  </si>
  <si>
    <t>AGRICOLA LAS PIRCAS LTDA.</t>
  </si>
  <si>
    <t>SAUVIGNON BLANC (AM) BL RANCAGUA</t>
  </si>
  <si>
    <t>PATRICIO ALEJANDRO VALDES ESPINOSA</t>
  </si>
  <si>
    <t>RIESLING VA CAUQUENES</t>
  </si>
  <si>
    <t>DIEGO JOSE BENAVENTE SEPULVEDA</t>
  </si>
  <si>
    <t>SAUVIGNON BLANC (AM) GE SAN RAFAEL</t>
  </si>
  <si>
    <t>MARTA IRENE BARRUETO TAPIA</t>
  </si>
  <si>
    <t>SAUVIGNON BLANC (AM) GE VILLA ALEGRE</t>
  </si>
  <si>
    <t>SEMILLON GE VILLA ALEGRE</t>
  </si>
  <si>
    <t>SOCIEDAD AGRICOLA PUTAGAN Y CIA LTDA</t>
  </si>
  <si>
    <t>VIVEROS GUILLAUME CHILE S.A.</t>
  </si>
  <si>
    <t>SAUVIGNON BLANC (AM) GE CHIMBARONGO</t>
  </si>
  <si>
    <t>SAUVIGNON BLANC (AM) GE SAN FERNANDO</t>
  </si>
  <si>
    <t>EDUARDO ANTONIO CAMPOS ALARCON</t>
  </si>
  <si>
    <t>AGRICOLA CAPELLANIA LTDA</t>
  </si>
  <si>
    <t>GONZALO TAGLE RIVADENEIRA</t>
  </si>
  <si>
    <t>FRANCISCO POBLETE LARA</t>
  </si>
  <si>
    <t>SAUVIGNON BLANC (AM) GE SAN JAVIER</t>
  </si>
  <si>
    <t>AGRICOLA EL ARENAL LTDA</t>
  </si>
  <si>
    <t>MARIA GABRIELA VALDES ESPINOSA</t>
  </si>
  <si>
    <t>KG DIARIOS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</si>
</sst>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"/>
    <numFmt numFmtId="165" formatCode="dd/mm/yy"/>
  </numFmts>
  <fonts count="8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999999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999999"/>
      </top>
      <bottom/>
      <diagonal/>
    </border>
    <border>
      <left style="medium">
        <color rgb="FF000000"/>
      </left>
      <right/>
      <top style="thin">
        <color rgb="FF999999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999999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999999"/>
      </left>
      <right style="medium">
        <color rgb="FF000000"/>
      </right>
      <top style="medium">
        <color rgb="FF000000"/>
      </top>
      <bottom/>
      <diagonal/>
    </border>
    <border>
      <left style="thin">
        <color rgb="FF999999"/>
      </left>
      <right/>
      <top style="thin">
        <color rgb="FF999999"/>
      </top>
      <bottom style="medium">
        <color rgb="FF000000"/>
      </bottom>
      <diagonal/>
    </border>
    <border>
      <left style="thin">
        <color rgb="FF999999"/>
      </left>
      <right style="medium">
        <color rgb="FF000000"/>
      </right>
      <top style="thin">
        <color rgb="FF999999"/>
      </top>
      <bottom style="medium">
        <color rgb="FF000000"/>
      </bottom>
      <diagonal/>
    </border>
    <border>
      <left style="thin">
        <color rgb="FF999999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999999"/>
      </left>
      <right style="medium">
        <color rgb="FF000000"/>
      </right>
      <top style="thin">
        <color rgb="FF999999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3" fontId="2" fillId="3" borderId="1" xfId="0" applyNumberFormat="1" applyFont="1" applyFill="1" applyBorder="1" applyAlignment="1">
      <alignment horizontal="left" vertical="center"/>
    </xf>
    <xf numFmtId="3" fontId="2" fillId="3" borderId="3" xfId="0" applyNumberFormat="1" applyFont="1" applyFill="1" applyBorder="1" applyAlignment="1">
      <alignment horizontal="right" vertical="center" wrapText="1"/>
    </xf>
    <xf numFmtId="164" fontId="2" fillId="3" borderId="6" xfId="0" applyNumberFormat="1" applyFont="1" applyFill="1" applyBorder="1" applyAlignment="1">
      <alignment horizontal="left" vertical="center"/>
    </xf>
    <xf numFmtId="164" fontId="1" fillId="3" borderId="3" xfId="0" applyNumberFormat="1" applyFont="1" applyFill="1" applyBorder="1" applyAlignment="1">
      <alignment horizontal="right" vertical="center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2" fillId="0" borderId="10" xfId="0" applyFont="1" applyBorder="1" applyAlignment="1">
      <alignment horizontal="center" vertical="center"/>
    </xf>
    <xf numFmtId="3" fontId="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0" fontId="3" fillId="0" borderId="12" xfId="0" applyFont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11" xfId="0" applyFont="1" applyBorder="1"/>
    <xf numFmtId="0" fontId="1" fillId="0" borderId="10" xfId="0" applyFont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 wrapText="1"/>
    </xf>
    <xf numFmtId="1" fontId="3" fillId="0" borderId="11" xfId="0" applyNumberFormat="1" applyFont="1" applyBorder="1"/>
    <xf numFmtId="0" fontId="2" fillId="0" borderId="10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3" fontId="1" fillId="0" borderId="0" xfId="0" applyNumberFormat="1" applyFont="1" applyAlignment="1">
      <alignment horizontal="left" vertical="center"/>
    </xf>
    <xf numFmtId="164" fontId="1" fillId="0" borderId="5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right"/>
    </xf>
    <xf numFmtId="0" fontId="1" fillId="0" borderId="0" xfId="0" applyFont="1" applyAlignment="1">
      <alignment horizontal="right" vertical="center"/>
    </xf>
    <xf numFmtId="0" fontId="1" fillId="3" borderId="3" xfId="0" applyFont="1" applyFill="1" applyBorder="1" applyAlignment="1">
      <alignment horizontal="righ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6" fillId="0" borderId="8" xfId="0" applyFont="1" applyBorder="1"/>
    <xf numFmtId="165" fontId="1" fillId="0" borderId="7" xfId="0" applyNumberFormat="1" applyFont="1" applyBorder="1" applyAlignment="1">
      <alignment horizontal="left" vertical="center" wrapText="1"/>
    </xf>
    <xf numFmtId="14" fontId="1" fillId="0" borderId="7" xfId="0" applyNumberFormat="1" applyFont="1" applyBorder="1" applyAlignment="1">
      <alignment horizontal="left" vertical="center" wrapText="1"/>
    </xf>
    <xf numFmtId="164" fontId="2" fillId="3" borderId="3" xfId="0" applyNumberFormat="1" applyFont="1" applyFill="1" applyBorder="1" applyAlignment="1">
      <alignment horizontal="right" vertical="center"/>
    </xf>
    <xf numFmtId="165" fontId="2" fillId="0" borderId="7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/>
    <xf numFmtId="0" fontId="2" fillId="0" borderId="17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2" fillId="0" borderId="17" xfId="0" applyFont="1" applyBorder="1" applyAlignment="1">
      <alignment horizontal="center" vertical="center" wrapText="1"/>
    </xf>
    <xf numFmtId="0" fontId="6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2" fillId="0" borderId="24" xfId="0" applyNumberFormat="1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/>
    </xf>
    <xf numFmtId="0" fontId="3" fillId="0" borderId="25" xfId="0" applyFont="1" applyBorder="1"/>
    <xf numFmtId="0" fontId="3" fillId="0" borderId="26" xfId="0" applyFont="1" applyBorder="1" applyAlignment="1">
      <alignment horizontal="center"/>
    </xf>
    <xf numFmtId="0" fontId="2" fillId="0" borderId="24" xfId="0" applyFont="1" applyBorder="1" applyAlignment="1">
      <alignment horizontal="right" vertical="center"/>
    </xf>
    <xf numFmtId="0" fontId="0" fillId="0" borderId="26" xfId="0" applyBorder="1"/>
    <xf numFmtId="165" fontId="2" fillId="0" borderId="17" xfId="0" applyNumberFormat="1" applyFont="1" applyBorder="1" applyAlignment="1">
      <alignment horizontal="left" vertical="center" wrapText="1"/>
    </xf>
    <xf numFmtId="0" fontId="2" fillId="0" borderId="27" xfId="0" applyFont="1" applyBorder="1" applyAlignment="1">
      <alignment horizontal="right" vertical="center"/>
    </xf>
    <xf numFmtId="0" fontId="3" fillId="0" borderId="28" xfId="0" applyFont="1" applyBorder="1" applyAlignment="1">
      <alignment horizontal="center"/>
    </xf>
    <xf numFmtId="0" fontId="3" fillId="0" borderId="28" xfId="0" applyFont="1" applyBorder="1"/>
    <xf numFmtId="0" fontId="2" fillId="0" borderId="29" xfId="0" applyFont="1" applyBorder="1" applyAlignment="1">
      <alignment horizontal="right" vertic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/>
    <xf numFmtId="0" fontId="3" fillId="0" borderId="32" xfId="0" applyFont="1" applyBorder="1" applyAlignment="1">
      <alignment horizontal="center"/>
    </xf>
    <xf numFmtId="0" fontId="3" fillId="0" borderId="33" xfId="0" applyFont="1" applyBorder="1"/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6" fillId="0" borderId="31" xfId="0" applyFont="1" applyBorder="1"/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N58" dT="2024-03-08T23:19:10.92" personId="{00000000-0000-0000-0000-000000000000}" id="{91CCE2B2-1236-4862-9F01-10AAA1DA3506}">
    <text>DOMINGO NOCHE</text>
  </threadedComment>
  <threadedComment ref="AN59" dT="2024-03-08T23:19:43.25" personId="{00000000-0000-0000-0000-000000000000}" id="{6A15F6C8-4CA3-401E-95D0-2F550AE0989C}">
    <text>DOMINGO NOCHE</text>
  </threadedComment>
  <threadedComment ref="AN66" dT="2024-03-06T20:54:35.08" personId="{00000000-0000-0000-0000-000000000000}" id="{42A07F65-0919-4CEF-99BB-4B81CD799A84}">
    <text>DOMINGO NOCHE</text>
  </threadedComment>
  <threadedComment ref="AN75" dT="2024-03-07T21:40:23.95" personId="{00000000-0000-0000-0000-000000000000}" id="{E7E7131B-B1C1-4B1D-840B-08A9FB14A8FD}">
    <text>DOMINGO NOCHE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DC125"/>
  <sheetViews>
    <sheetView tabSelected="1" zoomScale="110" zoomScaleNormal="110" workbookViewId="0">
      <pane xSplit="11" ySplit="5" topLeftCell="AG7" activePane="bottomRight" state="frozen"/>
      <selection pane="topRight" activeCell="K1" sqref="K1"/>
      <selection pane="bottomLeft" activeCell="A6" sqref="A6"/>
      <selection pane="bottomRight" activeCell="G130" sqref="G130"/>
    </sheetView>
  </sheetViews>
  <sheetFormatPr baseColWidth="10" defaultColWidth="9.109375" defaultRowHeight="13.8" x14ac:dyDescent="0.3"/>
  <cols>
    <col min="1" max="1" width="6.88671875" style="24" customWidth="1"/>
    <col min="2" max="2" width="33" style="11" customWidth="1"/>
    <col min="3" max="3" width="32.5546875" style="11" customWidth="1"/>
    <col min="4" max="4" width="9.6640625" style="11" customWidth="1"/>
    <col min="5" max="5" width="7.88671875" style="24" customWidth="1"/>
    <col min="6" max="6" width="6.6640625" style="24" customWidth="1"/>
    <col min="7" max="7" width="9.44140625" style="11" customWidth="1"/>
    <col min="8" max="8" width="3.6640625" style="11" customWidth="1"/>
    <col min="9" max="9" width="10.109375" style="13" bestFit="1" customWidth="1"/>
    <col min="10" max="10" width="11.44140625" style="11" customWidth="1"/>
    <col min="11" max="11" width="12.5546875" style="11" customWidth="1"/>
    <col min="12" max="16" width="10" style="11" customWidth="1"/>
    <col min="17" max="18" width="3.109375" style="11" customWidth="1"/>
    <col min="19" max="23" width="10" style="11" customWidth="1"/>
    <col min="24" max="25" width="3.88671875" style="11" customWidth="1"/>
    <col min="26" max="30" width="10" style="11" customWidth="1"/>
    <col min="31" max="32" width="3.5546875" style="11" customWidth="1"/>
    <col min="33" max="36" width="10" style="11" customWidth="1"/>
    <col min="37" max="37" width="9" style="11" customWidth="1"/>
    <col min="38" max="38" width="3.5546875" style="11" customWidth="1"/>
    <col min="39" max="39" width="3.6640625" style="11" customWidth="1"/>
    <col min="40" max="42" width="10" style="11" customWidth="1"/>
    <col min="43" max="44" width="11.88671875" style="11" customWidth="1"/>
    <col min="45" max="45" width="9.5546875" style="11" customWidth="1"/>
    <col min="46" max="46" width="2.88671875" style="11" customWidth="1"/>
    <col min="47" max="51" width="10" style="11" customWidth="1"/>
    <col min="52" max="52" width="3.88671875" style="11" customWidth="1"/>
    <col min="53" max="53" width="3.88671875" style="11" hidden="1" customWidth="1"/>
    <col min="54" max="57" width="10" style="11" hidden="1" customWidth="1"/>
    <col min="58" max="58" width="2.33203125" style="11" hidden="1" customWidth="1"/>
    <col min="59" max="60" width="2.109375" style="11" hidden="1" customWidth="1"/>
    <col min="61" max="65" width="10" style="11" hidden="1" customWidth="1"/>
    <col min="66" max="67" width="1.88671875" style="11" hidden="1" customWidth="1"/>
    <col min="68" max="72" width="10" style="11" hidden="1" customWidth="1"/>
    <col min="73" max="74" width="2.33203125" style="11" hidden="1" customWidth="1"/>
    <col min="75" max="107" width="10" style="11" hidden="1" customWidth="1"/>
    <col min="108" max="114" width="9.109375" style="11" customWidth="1"/>
    <col min="115" max="16384" width="9.109375" style="11"/>
  </cols>
  <sheetData>
    <row r="1" spans="1:107" x14ac:dyDescent="0.3">
      <c r="K1" s="12" t="s">
        <v>0</v>
      </c>
      <c r="L1" s="11">
        <v>7</v>
      </c>
      <c r="M1" s="11">
        <v>7</v>
      </c>
      <c r="N1" s="11">
        <v>7</v>
      </c>
      <c r="O1" s="11">
        <v>7</v>
      </c>
      <c r="P1" s="11">
        <v>7</v>
      </c>
      <c r="Q1" s="11">
        <v>7</v>
      </c>
      <c r="R1" s="11">
        <v>7</v>
      </c>
      <c r="S1" s="11">
        <v>8</v>
      </c>
      <c r="T1" s="11">
        <v>8</v>
      </c>
      <c r="U1" s="11">
        <v>8</v>
      </c>
      <c r="V1" s="11">
        <v>8</v>
      </c>
      <c r="W1" s="11">
        <v>8</v>
      </c>
      <c r="X1" s="11">
        <v>8</v>
      </c>
      <c r="Y1" s="11">
        <v>8</v>
      </c>
      <c r="Z1" s="11">
        <v>9</v>
      </c>
      <c r="AA1" s="11">
        <v>9</v>
      </c>
      <c r="AB1" s="11">
        <v>9</v>
      </c>
      <c r="AC1" s="11">
        <v>9</v>
      </c>
      <c r="AD1" s="11">
        <v>9</v>
      </c>
      <c r="AE1" s="11">
        <v>9</v>
      </c>
      <c r="AF1" s="11">
        <v>9</v>
      </c>
      <c r="AG1" s="11">
        <v>10</v>
      </c>
      <c r="AH1" s="11">
        <v>10</v>
      </c>
      <c r="AI1" s="11">
        <v>10</v>
      </c>
      <c r="AJ1" s="11">
        <v>10</v>
      </c>
      <c r="AK1" s="11">
        <v>10</v>
      </c>
      <c r="AL1" s="11">
        <v>10</v>
      </c>
      <c r="AM1" s="11">
        <v>10</v>
      </c>
      <c r="AN1" s="11">
        <v>11</v>
      </c>
      <c r="AO1" s="11">
        <v>11</v>
      </c>
      <c r="AP1" s="11">
        <v>11</v>
      </c>
      <c r="AQ1" s="11">
        <v>11</v>
      </c>
      <c r="AR1" s="11">
        <v>11</v>
      </c>
      <c r="AS1" s="11">
        <v>11</v>
      </c>
      <c r="AT1" s="11">
        <v>11</v>
      </c>
      <c r="AU1" s="11">
        <v>12</v>
      </c>
      <c r="AV1" s="11">
        <v>12</v>
      </c>
      <c r="AW1" s="11">
        <v>12</v>
      </c>
      <c r="AX1" s="11">
        <v>12</v>
      </c>
      <c r="AY1" s="11">
        <v>12</v>
      </c>
      <c r="AZ1" s="11">
        <v>12</v>
      </c>
      <c r="BA1" s="11">
        <v>12</v>
      </c>
      <c r="BB1" s="11">
        <v>13</v>
      </c>
      <c r="BC1" s="11">
        <v>13</v>
      </c>
      <c r="BD1" s="11">
        <v>13</v>
      </c>
      <c r="BE1" s="11">
        <v>13</v>
      </c>
      <c r="BF1" s="11">
        <v>13</v>
      </c>
      <c r="BG1" s="11">
        <v>13</v>
      </c>
      <c r="BH1" s="11">
        <v>13</v>
      </c>
      <c r="BI1" s="11">
        <v>14</v>
      </c>
      <c r="BJ1" s="11">
        <v>14</v>
      </c>
      <c r="BK1" s="11">
        <v>14</v>
      </c>
      <c r="BL1" s="11">
        <v>14</v>
      </c>
      <c r="BM1" s="11">
        <v>14</v>
      </c>
      <c r="BN1" s="11">
        <v>14</v>
      </c>
      <c r="BO1" s="11">
        <v>14</v>
      </c>
      <c r="BP1" s="11">
        <v>15</v>
      </c>
      <c r="BQ1" s="11">
        <v>15</v>
      </c>
      <c r="BR1" s="11">
        <v>15</v>
      </c>
      <c r="BS1" s="11">
        <v>15</v>
      </c>
      <c r="BT1" s="11">
        <v>15</v>
      </c>
      <c r="BU1" s="11">
        <v>15</v>
      </c>
      <c r="BV1" s="11">
        <v>15</v>
      </c>
      <c r="BW1" s="11">
        <v>16</v>
      </c>
      <c r="BX1" s="11">
        <v>16</v>
      </c>
      <c r="BY1" s="11">
        <v>16</v>
      </c>
      <c r="BZ1" s="11">
        <v>16</v>
      </c>
      <c r="CA1" s="11">
        <v>16</v>
      </c>
      <c r="CB1" s="11">
        <v>16</v>
      </c>
      <c r="CC1" s="11">
        <v>16</v>
      </c>
      <c r="CD1" s="11">
        <v>17</v>
      </c>
      <c r="CE1" s="11">
        <v>17</v>
      </c>
      <c r="CF1" s="11">
        <v>17</v>
      </c>
      <c r="CG1" s="11">
        <v>17</v>
      </c>
      <c r="CH1" s="11">
        <v>17</v>
      </c>
      <c r="CL1" s="11">
        <v>18</v>
      </c>
      <c r="CM1" s="11">
        <v>18</v>
      </c>
      <c r="CN1" s="11">
        <v>18</v>
      </c>
      <c r="CO1" s="11">
        <v>18</v>
      </c>
    </row>
    <row r="2" spans="1:107" ht="15" customHeight="1" x14ac:dyDescent="0.3">
      <c r="A2" s="28"/>
      <c r="B2" s="14"/>
      <c r="C2" s="14"/>
      <c r="D2" s="14"/>
      <c r="E2" s="25"/>
      <c r="F2" s="25"/>
      <c r="G2" s="14"/>
      <c r="H2" s="14"/>
      <c r="I2" s="31"/>
      <c r="K2" s="8" t="s">
        <v>1</v>
      </c>
      <c r="L2" s="9"/>
      <c r="M2" s="9"/>
      <c r="N2" s="9"/>
      <c r="O2" s="9"/>
      <c r="P2" s="23">
        <f>SUM(L3:P3)</f>
        <v>132000</v>
      </c>
      <c r="Q2" s="9"/>
      <c r="R2" s="9"/>
      <c r="S2" s="23"/>
      <c r="T2" s="23"/>
      <c r="U2" s="23"/>
      <c r="V2" s="23"/>
      <c r="W2" s="23">
        <f>SUM(S3:W3)</f>
        <v>375000</v>
      </c>
      <c r="X2" s="23"/>
      <c r="Y2" s="23"/>
      <c r="Z2" s="23"/>
      <c r="AA2" s="23"/>
      <c r="AB2" s="23"/>
      <c r="AC2" s="23"/>
      <c r="AD2" s="23">
        <f t="shared" ref="AD2:BT2" si="0">SUM(Z3:AD3)</f>
        <v>1591078</v>
      </c>
      <c r="AE2" s="23"/>
      <c r="AF2" s="23"/>
      <c r="AG2" s="23"/>
      <c r="AH2" s="23"/>
      <c r="AI2" s="23"/>
      <c r="AJ2" s="23"/>
      <c r="AK2" s="23">
        <f t="shared" si="0"/>
        <v>5917497</v>
      </c>
      <c r="AL2" s="23"/>
      <c r="AM2" s="23"/>
      <c r="AN2" s="23"/>
      <c r="AO2" s="23"/>
      <c r="AP2" s="23"/>
      <c r="AQ2" s="23"/>
      <c r="AR2" s="23">
        <f>SUM(AM3:AR3)</f>
        <v>7665327</v>
      </c>
      <c r="AS2" s="23">
        <f>SUM(AO3:AS3)</f>
        <v>5896800</v>
      </c>
      <c r="AT2" s="34"/>
      <c r="AU2" s="23"/>
      <c r="AV2" s="23"/>
      <c r="AW2" s="23"/>
      <c r="AX2" s="23"/>
      <c r="AY2" s="23">
        <f>SUM(AT3:AY3)</f>
        <v>8394235</v>
      </c>
      <c r="AZ2" s="23">
        <f t="shared" si="0"/>
        <v>6590235</v>
      </c>
      <c r="BA2" s="23"/>
      <c r="BB2" s="23"/>
      <c r="BC2" s="23"/>
      <c r="BD2" s="23"/>
      <c r="BE2" s="23">
        <f>SUM(AZ3:BE3)</f>
        <v>3467963</v>
      </c>
      <c r="BF2" s="23">
        <f>SUM(BA3:BF3)</f>
        <v>3467963</v>
      </c>
      <c r="BG2" s="23"/>
      <c r="BH2" s="23"/>
      <c r="BI2" s="23"/>
      <c r="BJ2" s="23"/>
      <c r="BK2" s="23"/>
      <c r="BL2" s="23">
        <f t="shared" si="0"/>
        <v>1819086</v>
      </c>
      <c r="BM2" s="23"/>
      <c r="BN2" s="23"/>
      <c r="BO2" s="23"/>
      <c r="BP2" s="23"/>
      <c r="BQ2" s="23"/>
      <c r="BR2" s="23"/>
      <c r="BS2" s="23"/>
      <c r="BT2" s="23">
        <f t="shared" si="0"/>
        <v>826240</v>
      </c>
      <c r="BU2" s="23"/>
      <c r="BV2" s="23"/>
      <c r="BW2" s="23"/>
      <c r="BX2" s="23"/>
      <c r="BY2" s="23"/>
      <c r="BZ2" s="23"/>
      <c r="CA2" s="23">
        <f>SUM(BW3:CA3)</f>
        <v>100000</v>
      </c>
      <c r="CB2" s="23"/>
      <c r="CC2" s="23"/>
      <c r="CD2" s="23"/>
      <c r="CE2" s="23"/>
      <c r="CF2" s="23"/>
      <c r="CG2" s="23"/>
      <c r="CH2" s="23">
        <f>SUM(CD3:CH3)</f>
        <v>0</v>
      </c>
      <c r="CI2" s="23"/>
      <c r="CJ2" s="23"/>
      <c r="CK2" s="23"/>
      <c r="CL2" s="23"/>
      <c r="CM2" s="23"/>
      <c r="CN2" s="23"/>
      <c r="CO2" s="23">
        <f>SUM(CK3:CO3)</f>
        <v>0</v>
      </c>
      <c r="CP2" s="23">
        <f t="shared" ref="CP2:DC2" si="1">SUM(CL3:CP3)</f>
        <v>0</v>
      </c>
      <c r="CQ2" s="23">
        <f t="shared" si="1"/>
        <v>0</v>
      </c>
      <c r="CR2" s="23"/>
      <c r="CS2" s="23"/>
      <c r="CT2" s="23"/>
      <c r="CU2" s="23"/>
      <c r="CV2" s="23">
        <f>SUM(CR3:CV3)</f>
        <v>0</v>
      </c>
      <c r="CW2" s="23">
        <f t="shared" si="1"/>
        <v>0</v>
      </c>
      <c r="CX2" s="23">
        <f t="shared" si="1"/>
        <v>0</v>
      </c>
      <c r="CY2" s="23">
        <f t="shared" si="1"/>
        <v>0</v>
      </c>
      <c r="CZ2" s="23">
        <f t="shared" si="1"/>
        <v>0</v>
      </c>
      <c r="DA2" s="23">
        <f t="shared" si="1"/>
        <v>0</v>
      </c>
      <c r="DB2" s="23">
        <f t="shared" si="1"/>
        <v>0</v>
      </c>
      <c r="DC2" s="23">
        <f t="shared" si="1"/>
        <v>0</v>
      </c>
    </row>
    <row r="3" spans="1:107" ht="15" customHeight="1" x14ac:dyDescent="0.3">
      <c r="A3" s="81" t="s">
        <v>2</v>
      </c>
      <c r="B3" s="82"/>
      <c r="C3" s="82"/>
      <c r="D3" s="82"/>
      <c r="E3" s="82"/>
      <c r="F3" s="82"/>
      <c r="G3" s="82"/>
      <c r="H3" s="14"/>
      <c r="I3" s="31"/>
      <c r="K3" s="1" t="s">
        <v>3</v>
      </c>
      <c r="L3" s="20">
        <f t="shared" ref="L3:Y3" si="2">SUM(L6:L180)</f>
        <v>36000</v>
      </c>
      <c r="M3" s="20">
        <f t="shared" si="2"/>
        <v>36000</v>
      </c>
      <c r="N3" s="20">
        <f t="shared" si="2"/>
        <v>36000</v>
      </c>
      <c r="O3" s="20">
        <f t="shared" si="2"/>
        <v>24000</v>
      </c>
      <c r="P3" s="20">
        <f t="shared" si="2"/>
        <v>0</v>
      </c>
      <c r="Q3" s="2">
        <f t="shared" si="2"/>
        <v>0</v>
      </c>
      <c r="R3" s="2">
        <f t="shared" si="2"/>
        <v>0</v>
      </c>
      <c r="S3" s="20">
        <f t="shared" si="2"/>
        <v>0</v>
      </c>
      <c r="T3" s="20">
        <f t="shared" si="2"/>
        <v>75000</v>
      </c>
      <c r="U3" s="20">
        <f t="shared" si="2"/>
        <v>100000</v>
      </c>
      <c r="V3" s="20">
        <f t="shared" si="2"/>
        <v>100000</v>
      </c>
      <c r="W3" s="20">
        <f t="shared" si="2"/>
        <v>100000</v>
      </c>
      <c r="X3" s="20">
        <f t="shared" si="2"/>
        <v>0</v>
      </c>
      <c r="Y3" s="20">
        <f t="shared" si="2"/>
        <v>0</v>
      </c>
      <c r="Z3" s="20">
        <f>SUM(Z6:Z128)</f>
        <v>185000</v>
      </c>
      <c r="AA3" s="20">
        <f t="shared" ref="AA3:BF3" si="3">SUM(AA6:AA180)</f>
        <v>185000</v>
      </c>
      <c r="AB3" s="20">
        <f t="shared" si="3"/>
        <v>360000</v>
      </c>
      <c r="AC3" s="20">
        <f t="shared" si="3"/>
        <v>432362</v>
      </c>
      <c r="AD3" s="20">
        <f t="shared" si="3"/>
        <v>428716</v>
      </c>
      <c r="AE3" s="20">
        <f t="shared" si="3"/>
        <v>0</v>
      </c>
      <c r="AF3" s="20">
        <f t="shared" si="3"/>
        <v>0</v>
      </c>
      <c r="AG3" s="20">
        <f t="shared" si="3"/>
        <v>898287</v>
      </c>
      <c r="AH3" s="20">
        <f t="shared" si="3"/>
        <v>1122000</v>
      </c>
      <c r="AI3" s="20">
        <f t="shared" si="3"/>
        <v>1218200</v>
      </c>
      <c r="AJ3" s="20">
        <f t="shared" si="3"/>
        <v>1346910</v>
      </c>
      <c r="AK3" s="20">
        <f t="shared" si="3"/>
        <v>1332100</v>
      </c>
      <c r="AL3" s="20">
        <f t="shared" si="3"/>
        <v>0</v>
      </c>
      <c r="AM3" s="20">
        <f t="shared" si="3"/>
        <v>0</v>
      </c>
      <c r="AN3" s="20">
        <f t="shared" si="3"/>
        <v>1768527</v>
      </c>
      <c r="AO3" s="20">
        <f t="shared" si="3"/>
        <v>1642500</v>
      </c>
      <c r="AP3" s="20">
        <f t="shared" si="3"/>
        <v>1554300</v>
      </c>
      <c r="AQ3" s="20">
        <f t="shared" si="3"/>
        <v>1430000</v>
      </c>
      <c r="AR3" s="20">
        <f t="shared" si="3"/>
        <v>1270000</v>
      </c>
      <c r="AS3" s="20">
        <f t="shared" si="3"/>
        <v>0</v>
      </c>
      <c r="AT3" s="35">
        <f t="shared" si="3"/>
        <v>0</v>
      </c>
      <c r="AU3" s="20">
        <f t="shared" si="3"/>
        <v>1804000</v>
      </c>
      <c r="AV3" s="20">
        <f t="shared" si="3"/>
        <v>1943986</v>
      </c>
      <c r="AW3" s="20">
        <f t="shared" si="3"/>
        <v>1875071</v>
      </c>
      <c r="AX3" s="20">
        <f t="shared" si="3"/>
        <v>1598208</v>
      </c>
      <c r="AY3" s="20">
        <f t="shared" si="3"/>
        <v>1172970</v>
      </c>
      <c r="AZ3" s="20">
        <f t="shared" si="3"/>
        <v>0</v>
      </c>
      <c r="BA3" s="20">
        <f t="shared" si="3"/>
        <v>0</v>
      </c>
      <c r="BB3" s="20">
        <f t="shared" si="3"/>
        <v>1180233</v>
      </c>
      <c r="BC3" s="20">
        <f t="shared" si="3"/>
        <v>857250</v>
      </c>
      <c r="BD3" s="20">
        <f t="shared" si="3"/>
        <v>771980</v>
      </c>
      <c r="BE3" s="20">
        <f t="shared" si="3"/>
        <v>658500</v>
      </c>
      <c r="BF3" s="20">
        <f t="shared" si="3"/>
        <v>0</v>
      </c>
      <c r="BG3" s="20">
        <f t="shared" ref="BG3:CL3" si="4">SUM(BG6:BG180)</f>
        <v>0</v>
      </c>
      <c r="BH3" s="20">
        <f t="shared" si="4"/>
        <v>0</v>
      </c>
      <c r="BI3" s="20">
        <f t="shared" si="4"/>
        <v>648080</v>
      </c>
      <c r="BJ3" s="20">
        <f t="shared" si="4"/>
        <v>471960</v>
      </c>
      <c r="BK3" s="20">
        <f t="shared" si="4"/>
        <v>381800</v>
      </c>
      <c r="BL3" s="20">
        <f t="shared" si="4"/>
        <v>317246</v>
      </c>
      <c r="BM3" s="20">
        <f t="shared" si="4"/>
        <v>174000</v>
      </c>
      <c r="BN3" s="20">
        <f t="shared" si="4"/>
        <v>0</v>
      </c>
      <c r="BO3" s="20">
        <f t="shared" si="4"/>
        <v>0</v>
      </c>
      <c r="BP3" s="20">
        <f t="shared" si="4"/>
        <v>226500</v>
      </c>
      <c r="BQ3" s="20">
        <f t="shared" si="4"/>
        <v>150000</v>
      </c>
      <c r="BR3" s="20">
        <f t="shared" si="4"/>
        <v>150000</v>
      </c>
      <c r="BS3" s="20">
        <f t="shared" si="4"/>
        <v>150000</v>
      </c>
      <c r="BT3" s="20">
        <f t="shared" si="4"/>
        <v>149740</v>
      </c>
      <c r="BU3" s="20">
        <f t="shared" si="4"/>
        <v>0</v>
      </c>
      <c r="BV3" s="20">
        <f t="shared" si="4"/>
        <v>0</v>
      </c>
      <c r="BW3" s="20">
        <f t="shared" si="4"/>
        <v>100000</v>
      </c>
      <c r="BX3" s="20">
        <f t="shared" si="4"/>
        <v>0</v>
      </c>
      <c r="BY3" s="20">
        <f t="shared" si="4"/>
        <v>0</v>
      </c>
      <c r="BZ3" s="20">
        <f t="shared" si="4"/>
        <v>0</v>
      </c>
      <c r="CA3" s="20">
        <f t="shared" si="4"/>
        <v>0</v>
      </c>
      <c r="CB3" s="20">
        <f t="shared" si="4"/>
        <v>0</v>
      </c>
      <c r="CC3" s="20">
        <f t="shared" si="4"/>
        <v>0</v>
      </c>
      <c r="CD3" s="20">
        <f t="shared" si="4"/>
        <v>0</v>
      </c>
      <c r="CE3" s="20">
        <f t="shared" si="4"/>
        <v>0</v>
      </c>
      <c r="CF3" s="20">
        <f t="shared" si="4"/>
        <v>0</v>
      </c>
      <c r="CG3" s="20">
        <f t="shared" si="4"/>
        <v>0</v>
      </c>
      <c r="CH3" s="20">
        <f t="shared" si="4"/>
        <v>0</v>
      </c>
      <c r="CI3" s="20">
        <f t="shared" si="4"/>
        <v>0</v>
      </c>
      <c r="CJ3" s="20">
        <f t="shared" si="4"/>
        <v>0</v>
      </c>
      <c r="CK3" s="20">
        <f t="shared" si="4"/>
        <v>0</v>
      </c>
      <c r="CL3" s="20">
        <f t="shared" si="4"/>
        <v>0</v>
      </c>
      <c r="CM3" s="20">
        <f t="shared" ref="CM3:DC3" si="5">SUM(CM6:CM180)</f>
        <v>0</v>
      </c>
      <c r="CN3" s="20">
        <f t="shared" si="5"/>
        <v>0</v>
      </c>
      <c r="CO3" s="20">
        <f t="shared" si="5"/>
        <v>0</v>
      </c>
      <c r="CP3" s="20">
        <f t="shared" si="5"/>
        <v>0</v>
      </c>
      <c r="CQ3" s="20">
        <f t="shared" si="5"/>
        <v>0</v>
      </c>
      <c r="CR3" s="20">
        <f t="shared" si="5"/>
        <v>0</v>
      </c>
      <c r="CS3" s="20">
        <f t="shared" si="5"/>
        <v>0</v>
      </c>
      <c r="CT3" s="20">
        <f t="shared" si="5"/>
        <v>0</v>
      </c>
      <c r="CU3" s="20">
        <f t="shared" si="5"/>
        <v>0</v>
      </c>
      <c r="CV3" s="20">
        <f t="shared" si="5"/>
        <v>0</v>
      </c>
      <c r="CW3" s="20">
        <f t="shared" si="5"/>
        <v>0</v>
      </c>
      <c r="CX3" s="20">
        <f t="shared" si="5"/>
        <v>0</v>
      </c>
      <c r="CY3" s="20">
        <f t="shared" si="5"/>
        <v>0</v>
      </c>
      <c r="CZ3" s="20">
        <f t="shared" si="5"/>
        <v>0</v>
      </c>
      <c r="DA3" s="20">
        <f t="shared" si="5"/>
        <v>0</v>
      </c>
      <c r="DB3" s="20">
        <f t="shared" si="5"/>
        <v>0</v>
      </c>
      <c r="DC3" s="20">
        <f t="shared" si="5"/>
        <v>0</v>
      </c>
    </row>
    <row r="4" spans="1:107" ht="15" customHeight="1" x14ac:dyDescent="0.3">
      <c r="A4" s="29"/>
      <c r="B4" s="15"/>
      <c r="C4" s="15"/>
      <c r="D4" s="15"/>
      <c r="E4" s="26"/>
      <c r="F4" s="26"/>
      <c r="G4" s="15"/>
      <c r="H4" s="15"/>
      <c r="I4" s="32"/>
      <c r="K4" s="3" t="s">
        <v>4</v>
      </c>
      <c r="L4" s="4" t="s">
        <v>5</v>
      </c>
      <c r="M4" s="4" t="s">
        <v>6</v>
      </c>
      <c r="N4" s="4" t="s">
        <v>7</v>
      </c>
      <c r="O4" s="4" t="s">
        <v>8</v>
      </c>
      <c r="P4" s="4" t="s">
        <v>9</v>
      </c>
      <c r="Q4" s="4" t="s">
        <v>10</v>
      </c>
      <c r="R4" s="4" t="s">
        <v>11</v>
      </c>
      <c r="S4" s="4" t="s">
        <v>5</v>
      </c>
      <c r="T4" s="4" t="s">
        <v>6</v>
      </c>
      <c r="U4" s="4" t="s">
        <v>7</v>
      </c>
      <c r="V4" s="4" t="s">
        <v>8</v>
      </c>
      <c r="W4" s="4" t="s">
        <v>9</v>
      </c>
      <c r="X4" s="4" t="s">
        <v>10</v>
      </c>
      <c r="Y4" s="4" t="s">
        <v>11</v>
      </c>
      <c r="Z4" s="4" t="s">
        <v>5</v>
      </c>
      <c r="AA4" s="4" t="s">
        <v>6</v>
      </c>
      <c r="AB4" s="4" t="s">
        <v>7</v>
      </c>
      <c r="AC4" s="4" t="s">
        <v>8</v>
      </c>
      <c r="AD4" s="4" t="s">
        <v>9</v>
      </c>
      <c r="AE4" s="4" t="s">
        <v>10</v>
      </c>
      <c r="AF4" s="4" t="s">
        <v>11</v>
      </c>
      <c r="AG4" s="4" t="s">
        <v>5</v>
      </c>
      <c r="AH4" s="4" t="s">
        <v>6</v>
      </c>
      <c r="AI4" s="4" t="s">
        <v>7</v>
      </c>
      <c r="AJ4" s="4" t="s">
        <v>8</v>
      </c>
      <c r="AK4" s="4" t="s">
        <v>9</v>
      </c>
      <c r="AL4" s="4" t="s">
        <v>10</v>
      </c>
      <c r="AM4" s="4" t="s">
        <v>11</v>
      </c>
      <c r="AN4" s="4" t="s">
        <v>5</v>
      </c>
      <c r="AO4" s="4" t="s">
        <v>6</v>
      </c>
      <c r="AP4" s="4" t="s">
        <v>7</v>
      </c>
      <c r="AQ4" s="4" t="s">
        <v>8</v>
      </c>
      <c r="AR4" s="4" t="s">
        <v>9</v>
      </c>
      <c r="AS4" s="4" t="s">
        <v>10</v>
      </c>
      <c r="AT4" s="4" t="s">
        <v>11</v>
      </c>
      <c r="AU4" s="41" t="s">
        <v>5</v>
      </c>
      <c r="AV4" s="4" t="s">
        <v>6</v>
      </c>
      <c r="AW4" s="4" t="s">
        <v>7</v>
      </c>
      <c r="AX4" s="4" t="s">
        <v>8</v>
      </c>
      <c r="AY4" s="4" t="s">
        <v>9</v>
      </c>
      <c r="AZ4" s="4" t="s">
        <v>10</v>
      </c>
      <c r="BA4" s="4" t="s">
        <v>11</v>
      </c>
      <c r="BB4" s="4" t="s">
        <v>5</v>
      </c>
      <c r="BC4" s="4" t="s">
        <v>6</v>
      </c>
      <c r="BD4" s="4" t="s">
        <v>7</v>
      </c>
      <c r="BE4" s="4" t="s">
        <v>8</v>
      </c>
      <c r="BF4" s="4" t="s">
        <v>9</v>
      </c>
      <c r="BG4" s="4" t="s">
        <v>10</v>
      </c>
      <c r="BH4" s="4" t="s">
        <v>11</v>
      </c>
      <c r="BI4" s="4" t="s">
        <v>5</v>
      </c>
      <c r="BJ4" s="4" t="s">
        <v>6</v>
      </c>
      <c r="BK4" s="4" t="s">
        <v>7</v>
      </c>
      <c r="BL4" s="4" t="s">
        <v>8</v>
      </c>
      <c r="BM4" s="4" t="s">
        <v>9</v>
      </c>
      <c r="BN4" s="4" t="s">
        <v>10</v>
      </c>
      <c r="BO4" s="4" t="s">
        <v>11</v>
      </c>
      <c r="BP4" s="4" t="s">
        <v>5</v>
      </c>
      <c r="BQ4" s="4" t="s">
        <v>6</v>
      </c>
      <c r="BR4" s="4" t="s">
        <v>7</v>
      </c>
      <c r="BS4" s="4" t="s">
        <v>8</v>
      </c>
      <c r="BT4" s="4" t="s">
        <v>9</v>
      </c>
      <c r="BU4" s="4" t="s">
        <v>10</v>
      </c>
      <c r="BV4" s="4" t="s">
        <v>11</v>
      </c>
      <c r="BW4" s="4" t="s">
        <v>5</v>
      </c>
      <c r="BX4" s="4" t="s">
        <v>6</v>
      </c>
      <c r="BY4" s="4" t="s">
        <v>7</v>
      </c>
      <c r="BZ4" s="4" t="s">
        <v>8</v>
      </c>
      <c r="CA4" s="4" t="s">
        <v>9</v>
      </c>
      <c r="CB4" s="4" t="s">
        <v>10</v>
      </c>
      <c r="CC4" s="4" t="s">
        <v>11</v>
      </c>
      <c r="CD4" s="4" t="s">
        <v>5</v>
      </c>
      <c r="CE4" s="4" t="s">
        <v>6</v>
      </c>
      <c r="CF4" s="4" t="s">
        <v>7</v>
      </c>
      <c r="CG4" s="4" t="s">
        <v>8</v>
      </c>
      <c r="CH4" s="4" t="s">
        <v>9</v>
      </c>
      <c r="CI4" s="4" t="s">
        <v>10</v>
      </c>
      <c r="CJ4" s="4" t="s">
        <v>11</v>
      </c>
      <c r="CK4" s="4" t="s">
        <v>5</v>
      </c>
      <c r="CL4" s="4" t="s">
        <v>6</v>
      </c>
      <c r="CM4" s="4" t="s">
        <v>7</v>
      </c>
      <c r="CN4" s="4" t="s">
        <v>8</v>
      </c>
      <c r="CO4" s="4" t="s">
        <v>9</v>
      </c>
      <c r="CP4" s="4" t="s">
        <v>10</v>
      </c>
      <c r="CQ4" s="4" t="s">
        <v>11</v>
      </c>
      <c r="CR4" s="4" t="s">
        <v>5</v>
      </c>
      <c r="CS4" s="4" t="s">
        <v>6</v>
      </c>
      <c r="CT4" s="4" t="s">
        <v>7</v>
      </c>
      <c r="CU4" s="4" t="s">
        <v>8</v>
      </c>
      <c r="CV4" s="4" t="s">
        <v>9</v>
      </c>
      <c r="CW4" s="4" t="s">
        <v>10</v>
      </c>
      <c r="CX4" s="4" t="s">
        <v>11</v>
      </c>
      <c r="CY4" s="4" t="s">
        <v>5</v>
      </c>
      <c r="CZ4" s="4" t="s">
        <v>6</v>
      </c>
      <c r="DA4" s="4" t="s">
        <v>7</v>
      </c>
      <c r="DB4" s="4" t="s">
        <v>8</v>
      </c>
      <c r="DC4" s="4" t="s">
        <v>9</v>
      </c>
    </row>
    <row r="5" spans="1:107" ht="32.25" customHeight="1" x14ac:dyDescent="0.3">
      <c r="A5" s="5" t="s">
        <v>12</v>
      </c>
      <c r="B5" s="5" t="s">
        <v>13</v>
      </c>
      <c r="C5" s="5" t="s">
        <v>14</v>
      </c>
      <c r="D5" s="36" t="s">
        <v>15</v>
      </c>
      <c r="E5" s="36" t="s">
        <v>16</v>
      </c>
      <c r="F5" s="36" t="s">
        <v>17</v>
      </c>
      <c r="G5" s="36" t="s">
        <v>18</v>
      </c>
      <c r="H5" s="36" t="s">
        <v>19</v>
      </c>
      <c r="I5" s="37" t="s">
        <v>20</v>
      </c>
      <c r="J5" s="36" t="s">
        <v>21</v>
      </c>
      <c r="K5" s="36" t="s">
        <v>22</v>
      </c>
      <c r="L5" s="40">
        <v>45334</v>
      </c>
      <c r="M5" s="39">
        <f t="shared" ref="M5" si="6">L5+1</f>
        <v>45335</v>
      </c>
      <c r="N5" s="39">
        <f t="shared" ref="N5" si="7">M5+1</f>
        <v>45336</v>
      </c>
      <c r="O5" s="39">
        <f t="shared" ref="O5" si="8">N5+1</f>
        <v>45337</v>
      </c>
      <c r="P5" s="39">
        <f t="shared" ref="P5" si="9">O5+1</f>
        <v>45338</v>
      </c>
      <c r="Q5" s="39">
        <f t="shared" ref="Q5" si="10">P5+1</f>
        <v>45339</v>
      </c>
      <c r="R5" s="39">
        <f t="shared" ref="R5" si="11">Q5+1</f>
        <v>45340</v>
      </c>
      <c r="S5" s="39">
        <f t="shared" ref="S5" si="12">R5+1</f>
        <v>45341</v>
      </c>
      <c r="T5" s="39">
        <f t="shared" ref="T5" si="13">S5+1</f>
        <v>45342</v>
      </c>
      <c r="U5" s="39">
        <f t="shared" ref="U5" si="14">T5+1</f>
        <v>45343</v>
      </c>
      <c r="V5" s="39">
        <f t="shared" ref="V5" si="15">U5+1</f>
        <v>45344</v>
      </c>
      <c r="W5" s="39">
        <f t="shared" ref="W5" si="16">V5+1</f>
        <v>45345</v>
      </c>
      <c r="X5" s="39">
        <f t="shared" ref="X5" si="17">W5+1</f>
        <v>45346</v>
      </c>
      <c r="Y5" s="39">
        <f t="shared" ref="Y5" si="18">X5+1</f>
        <v>45347</v>
      </c>
      <c r="Z5" s="39">
        <f t="shared" ref="Z5" si="19">Y5+1</f>
        <v>45348</v>
      </c>
      <c r="AA5" s="39">
        <f t="shared" ref="AA5" si="20">Z5+1</f>
        <v>45349</v>
      </c>
      <c r="AB5" s="39">
        <f t="shared" ref="AB5" si="21">AA5+1</f>
        <v>45350</v>
      </c>
      <c r="AC5" s="39">
        <f t="shared" ref="AC5" si="22">AB5+1</f>
        <v>45351</v>
      </c>
      <c r="AD5" s="39">
        <f t="shared" ref="AD5" si="23">AC5+1</f>
        <v>45352</v>
      </c>
      <c r="AE5" s="39">
        <f t="shared" ref="AE5" si="24">AD5+1</f>
        <v>45353</v>
      </c>
      <c r="AF5" s="39">
        <f t="shared" ref="AF5" si="25">AE5+1</f>
        <v>45354</v>
      </c>
      <c r="AG5" s="39">
        <f t="shared" ref="AG5" si="26">AF5+1</f>
        <v>45355</v>
      </c>
      <c r="AH5" s="39">
        <f t="shared" ref="AH5" si="27">AG5+1</f>
        <v>45356</v>
      </c>
      <c r="AI5" s="39">
        <f t="shared" ref="AI5" si="28">AH5+1</f>
        <v>45357</v>
      </c>
      <c r="AJ5" s="39">
        <f t="shared" ref="AJ5" si="29">AI5+1</f>
        <v>45358</v>
      </c>
      <c r="AK5" s="39">
        <f t="shared" ref="AK5" si="30">AJ5+1</f>
        <v>45359</v>
      </c>
      <c r="AL5" s="39">
        <f t="shared" ref="AL5" si="31">AK5+1</f>
        <v>45360</v>
      </c>
      <c r="AM5" s="39">
        <f t="shared" ref="AM5" si="32">AL5+1</f>
        <v>45361</v>
      </c>
      <c r="AN5" s="39">
        <f t="shared" ref="AN5" si="33">AM5+1</f>
        <v>45362</v>
      </c>
      <c r="AO5" s="39">
        <f t="shared" ref="AO5" si="34">AN5+1</f>
        <v>45363</v>
      </c>
      <c r="AP5" s="39">
        <f t="shared" ref="AP5" si="35">AO5+1</f>
        <v>45364</v>
      </c>
      <c r="AQ5" s="39">
        <f t="shared" ref="AQ5" si="36">AP5+1</f>
        <v>45365</v>
      </c>
      <c r="AR5" s="39">
        <f t="shared" ref="AR5" si="37">AQ5+1</f>
        <v>45366</v>
      </c>
      <c r="AS5" s="39">
        <f t="shared" ref="AS5" si="38">AR5+1</f>
        <v>45367</v>
      </c>
      <c r="AT5" s="39">
        <f t="shared" ref="AT5" si="39">AS5+1</f>
        <v>45368</v>
      </c>
      <c r="AU5" s="42">
        <f t="shared" ref="AU5" si="40">AT5+1</f>
        <v>45369</v>
      </c>
      <c r="AV5" s="39">
        <f t="shared" ref="AV5" si="41">AU5+1</f>
        <v>45370</v>
      </c>
      <c r="AW5" s="39">
        <f t="shared" ref="AW5" si="42">AV5+1</f>
        <v>45371</v>
      </c>
      <c r="AX5" s="39">
        <f t="shared" ref="AX5" si="43">AW5+1</f>
        <v>45372</v>
      </c>
      <c r="AY5" s="39">
        <f t="shared" ref="AY5" si="44">AX5+1</f>
        <v>45373</v>
      </c>
      <c r="AZ5" s="39">
        <f t="shared" ref="AZ5" si="45">AY5+1</f>
        <v>45374</v>
      </c>
      <c r="BA5" s="39">
        <f t="shared" ref="BA5" si="46">AZ5+1</f>
        <v>45375</v>
      </c>
      <c r="BB5" s="39">
        <f t="shared" ref="BB5" si="47">BA5+1</f>
        <v>45376</v>
      </c>
      <c r="BC5" s="39">
        <f t="shared" ref="BC5" si="48">BB5+1</f>
        <v>45377</v>
      </c>
      <c r="BD5" s="39">
        <f t="shared" ref="BD5" si="49">BC5+1</f>
        <v>45378</v>
      </c>
      <c r="BE5" s="39">
        <f t="shared" ref="BE5" si="50">BD5+1</f>
        <v>45379</v>
      </c>
      <c r="BF5" s="39">
        <f t="shared" ref="BF5" si="51">BE5+1</f>
        <v>45380</v>
      </c>
      <c r="BG5" s="39">
        <f t="shared" ref="BG5" si="52">BF5+1</f>
        <v>45381</v>
      </c>
      <c r="BH5" s="39">
        <f t="shared" ref="BH5" si="53">BG5+1</f>
        <v>45382</v>
      </c>
      <c r="BI5" s="39">
        <f t="shared" ref="BI5" si="54">BH5+1</f>
        <v>45383</v>
      </c>
      <c r="BJ5" s="39">
        <f t="shared" ref="BJ5" si="55">BI5+1</f>
        <v>45384</v>
      </c>
      <c r="BK5" s="39">
        <f t="shared" ref="BK5" si="56">BJ5+1</f>
        <v>45385</v>
      </c>
      <c r="BL5" s="39">
        <f t="shared" ref="BL5" si="57">BK5+1</f>
        <v>45386</v>
      </c>
      <c r="BM5" s="39">
        <f t="shared" ref="BM5" si="58">BL5+1</f>
        <v>45387</v>
      </c>
      <c r="BN5" s="39">
        <f t="shared" ref="BN5" si="59">BM5+1</f>
        <v>45388</v>
      </c>
      <c r="BO5" s="39">
        <f t="shared" ref="BO5" si="60">BN5+1</f>
        <v>45389</v>
      </c>
      <c r="BP5" s="39">
        <f t="shared" ref="BP5" si="61">BO5+1</f>
        <v>45390</v>
      </c>
      <c r="BQ5" s="39">
        <f t="shared" ref="BQ5" si="62">BP5+1</f>
        <v>45391</v>
      </c>
      <c r="BR5" s="39">
        <f t="shared" ref="BR5" si="63">BQ5+1</f>
        <v>45392</v>
      </c>
      <c r="BS5" s="39">
        <f t="shared" ref="BS5" si="64">BR5+1</f>
        <v>45393</v>
      </c>
      <c r="BT5" s="39">
        <f t="shared" ref="BT5" si="65">BS5+1</f>
        <v>45394</v>
      </c>
      <c r="BU5" s="39">
        <f t="shared" ref="BU5" si="66">BT5+1</f>
        <v>45395</v>
      </c>
      <c r="BV5" s="39">
        <f t="shared" ref="BV5" si="67">BU5+1</f>
        <v>45396</v>
      </c>
      <c r="BW5" s="39">
        <f t="shared" ref="BW5" si="68">BV5+1</f>
        <v>45397</v>
      </c>
      <c r="BX5" s="39">
        <f t="shared" ref="BX5" si="69">BW5+1</f>
        <v>45398</v>
      </c>
      <c r="BY5" s="39">
        <f t="shared" ref="BY5" si="70">BX5+1</f>
        <v>45399</v>
      </c>
      <c r="BZ5" s="39">
        <f t="shared" ref="BZ5" si="71">BY5+1</f>
        <v>45400</v>
      </c>
      <c r="CA5" s="39">
        <f t="shared" ref="CA5" si="72">BZ5+1</f>
        <v>45401</v>
      </c>
      <c r="CB5" s="39">
        <f t="shared" ref="CB5" si="73">CA5+1</f>
        <v>45402</v>
      </c>
      <c r="CC5" s="39">
        <f t="shared" ref="CC5" si="74">CB5+1</f>
        <v>45403</v>
      </c>
      <c r="CD5" s="39">
        <f t="shared" ref="CD5" si="75">CC5+1</f>
        <v>45404</v>
      </c>
      <c r="CE5" s="39">
        <f t="shared" ref="CE5" si="76">CD5+1</f>
        <v>45405</v>
      </c>
      <c r="CF5" s="39">
        <f t="shared" ref="CF5" si="77">CE5+1</f>
        <v>45406</v>
      </c>
      <c r="CG5" s="39">
        <f t="shared" ref="CG5" si="78">CF5+1</f>
        <v>45407</v>
      </c>
      <c r="CH5" s="39">
        <f t="shared" ref="CH5" si="79">CG5+1</f>
        <v>45408</v>
      </c>
      <c r="CI5" s="39">
        <f t="shared" ref="CI5" si="80">CH5+1</f>
        <v>45409</v>
      </c>
      <c r="CJ5" s="39">
        <f t="shared" ref="CJ5" si="81">CI5+1</f>
        <v>45410</v>
      </c>
      <c r="CK5" s="39">
        <f t="shared" ref="CK5" si="82">CJ5+1</f>
        <v>45411</v>
      </c>
      <c r="CL5" s="39">
        <f t="shared" ref="CL5" si="83">CK5+1</f>
        <v>45412</v>
      </c>
      <c r="CM5" s="39">
        <f t="shared" ref="CM5" si="84">CL5+1</f>
        <v>45413</v>
      </c>
      <c r="CN5" s="39">
        <f t="shared" ref="CN5" si="85">CM5+1</f>
        <v>45414</v>
      </c>
      <c r="CO5" s="39">
        <f t="shared" ref="CO5" si="86">CN5+1</f>
        <v>45415</v>
      </c>
      <c r="CP5" s="39">
        <f t="shared" ref="CP5" si="87">CO5+1</f>
        <v>45416</v>
      </c>
      <c r="CQ5" s="39">
        <f t="shared" ref="CQ5" si="88">CP5+1</f>
        <v>45417</v>
      </c>
      <c r="CR5" s="39">
        <f t="shared" ref="CR5" si="89">CQ5+1</f>
        <v>45418</v>
      </c>
      <c r="CS5" s="39">
        <f t="shared" ref="CS5" si="90">CR5+1</f>
        <v>45419</v>
      </c>
      <c r="CT5" s="39">
        <f t="shared" ref="CT5" si="91">CS5+1</f>
        <v>45420</v>
      </c>
      <c r="CU5" s="39">
        <f t="shared" ref="CU5" si="92">CT5+1</f>
        <v>45421</v>
      </c>
      <c r="CV5" s="39">
        <f t="shared" ref="CV5" si="93">CU5+1</f>
        <v>45422</v>
      </c>
      <c r="CW5" s="39">
        <f t="shared" ref="CW5" si="94">CV5+1</f>
        <v>45423</v>
      </c>
      <c r="CX5" s="39">
        <f t="shared" ref="CX5" si="95">CW5+1</f>
        <v>45424</v>
      </c>
      <c r="CY5" s="39">
        <f t="shared" ref="CY5" si="96">CX5+1</f>
        <v>45425</v>
      </c>
      <c r="CZ5" s="39">
        <f t="shared" ref="CZ5" si="97">CY5+1</f>
        <v>45426</v>
      </c>
      <c r="DA5" s="39">
        <f t="shared" ref="DA5" si="98">CZ5+1</f>
        <v>45427</v>
      </c>
      <c r="DB5" s="39">
        <f t="shared" ref="DB5" si="99">DA5+1</f>
        <v>45428</v>
      </c>
      <c r="DC5" s="39">
        <f t="shared" ref="DC5" si="100">DB5+1</f>
        <v>45429</v>
      </c>
    </row>
    <row r="6" spans="1:107" ht="14.25" hidden="1" customHeight="1" x14ac:dyDescent="0.3">
      <c r="A6" s="27">
        <v>696</v>
      </c>
      <c r="B6" s="6" t="s">
        <v>23</v>
      </c>
      <c r="C6" s="6" t="s">
        <v>24</v>
      </c>
      <c r="D6" s="6">
        <v>201351</v>
      </c>
      <c r="E6" s="27"/>
      <c r="F6" s="6"/>
      <c r="G6" s="6" t="s">
        <v>25</v>
      </c>
      <c r="H6" s="7" t="s">
        <v>26</v>
      </c>
      <c r="I6" s="21">
        <v>206000</v>
      </c>
      <c r="J6" s="18">
        <f>IF(H6="T",0,I6-K6)</f>
        <v>0</v>
      </c>
      <c r="K6" s="19">
        <f t="shared" ref="K6:K41" si="101">SUM(L6:DC6)</f>
        <v>206000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22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>
        <v>75000</v>
      </c>
      <c r="BC6" s="17">
        <v>75000</v>
      </c>
      <c r="BD6" s="17">
        <v>56000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</row>
    <row r="7" spans="1:107" ht="14.25" hidden="1" customHeight="1" x14ac:dyDescent="0.3">
      <c r="A7" s="27">
        <v>698</v>
      </c>
      <c r="B7" s="6" t="s">
        <v>27</v>
      </c>
      <c r="C7" s="6" t="s">
        <v>28</v>
      </c>
      <c r="D7" s="6">
        <v>101931</v>
      </c>
      <c r="E7" s="27">
        <v>1</v>
      </c>
      <c r="F7" s="6"/>
      <c r="G7" s="6" t="s">
        <v>29</v>
      </c>
      <c r="H7" s="7" t="s">
        <v>26</v>
      </c>
      <c r="I7" s="21">
        <v>520760</v>
      </c>
      <c r="J7" s="18">
        <f t="shared" ref="J7:J61" si="102">IF(H7="T",0,I7-K7)</f>
        <v>14000</v>
      </c>
      <c r="K7" s="19">
        <f t="shared" si="101"/>
        <v>506760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>
        <v>25000</v>
      </c>
      <c r="AI7" s="17">
        <v>36000</v>
      </c>
      <c r="AJ7" s="17">
        <v>36000</v>
      </c>
      <c r="AK7" s="17">
        <v>36000</v>
      </c>
      <c r="AL7" s="17"/>
      <c r="AM7" s="17"/>
      <c r="AN7" s="17">
        <v>36000</v>
      </c>
      <c r="AO7" s="17">
        <v>50000</v>
      </c>
      <c r="AP7" s="17">
        <v>50000</v>
      </c>
      <c r="AQ7" s="17">
        <v>50000</v>
      </c>
      <c r="AR7" s="17">
        <v>50000</v>
      </c>
      <c r="AS7" s="17"/>
      <c r="AT7" s="17"/>
      <c r="AU7" s="22">
        <v>36000</v>
      </c>
      <c r="AV7" s="17">
        <v>50000</v>
      </c>
      <c r="AW7" s="17">
        <v>51760</v>
      </c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</row>
    <row r="8" spans="1:107" ht="14.25" customHeight="1" x14ac:dyDescent="0.3">
      <c r="A8" s="27">
        <v>698</v>
      </c>
      <c r="B8" s="6" t="s">
        <v>27</v>
      </c>
      <c r="C8" s="6" t="s">
        <v>30</v>
      </c>
      <c r="D8" s="6">
        <v>201331</v>
      </c>
      <c r="E8" s="27">
        <v>3</v>
      </c>
      <c r="F8" s="6"/>
      <c r="G8" s="6" t="s">
        <v>25</v>
      </c>
      <c r="H8" s="7" t="s">
        <v>26</v>
      </c>
      <c r="I8" s="16">
        <v>901275</v>
      </c>
      <c r="J8" s="18">
        <f>IF(H8="T",0,I8-K8)</f>
        <v>-25000</v>
      </c>
      <c r="K8" s="19">
        <f t="shared" si="101"/>
        <v>926275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>
        <v>50000</v>
      </c>
      <c r="AC8" s="17">
        <v>50000</v>
      </c>
      <c r="AD8" s="17">
        <v>50000</v>
      </c>
      <c r="AE8" s="17"/>
      <c r="AF8" s="17"/>
      <c r="AG8" s="17">
        <v>50000</v>
      </c>
      <c r="AH8" s="17">
        <v>72000</v>
      </c>
      <c r="AI8" s="17">
        <v>24000</v>
      </c>
      <c r="AJ8" s="17"/>
      <c r="AK8" s="17"/>
      <c r="AL8" s="17"/>
      <c r="AM8" s="17"/>
      <c r="AN8" s="17">
        <v>75000</v>
      </c>
      <c r="AO8" s="17">
        <v>75000</v>
      </c>
      <c r="AP8" s="22"/>
      <c r="AQ8" s="17">
        <v>100000</v>
      </c>
      <c r="AR8" s="17">
        <v>100000</v>
      </c>
      <c r="AS8" s="17"/>
      <c r="AT8" s="17"/>
      <c r="AU8" s="22">
        <v>100000</v>
      </c>
      <c r="AV8" s="17">
        <v>75000</v>
      </c>
      <c r="AW8" s="17">
        <v>75000</v>
      </c>
      <c r="AX8" s="17">
        <v>30275</v>
      </c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</row>
    <row r="9" spans="1:107" ht="14.25" hidden="1" customHeight="1" x14ac:dyDescent="0.3">
      <c r="A9" s="27">
        <v>698</v>
      </c>
      <c r="B9" s="6" t="s">
        <v>27</v>
      </c>
      <c r="C9" s="6" t="s">
        <v>31</v>
      </c>
      <c r="D9" s="6">
        <v>200491</v>
      </c>
      <c r="E9" s="27">
        <v>3</v>
      </c>
      <c r="F9" s="6"/>
      <c r="G9" s="6" t="s">
        <v>25</v>
      </c>
      <c r="H9" s="7" t="s">
        <v>26</v>
      </c>
      <c r="I9" s="16">
        <v>712080</v>
      </c>
      <c r="J9" s="18">
        <f>IF(H9="T",0,I9-K9)</f>
        <v>0</v>
      </c>
      <c r="K9" s="19">
        <f t="shared" si="101"/>
        <v>712080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>
        <v>25000</v>
      </c>
      <c r="AC9" s="17">
        <v>25000</v>
      </c>
      <c r="AD9" s="17">
        <v>25000</v>
      </c>
      <c r="AE9" s="17"/>
      <c r="AF9" s="17"/>
      <c r="AG9" s="17">
        <v>50000</v>
      </c>
      <c r="AH9" s="17"/>
      <c r="AI9" s="22"/>
      <c r="AJ9" s="17"/>
      <c r="AK9" s="17"/>
      <c r="AL9" s="17"/>
      <c r="AM9" s="17"/>
      <c r="AN9" s="17"/>
      <c r="AO9" s="17"/>
      <c r="AP9" s="17">
        <v>75000</v>
      </c>
      <c r="AQ9" s="17"/>
      <c r="AR9" s="17"/>
      <c r="AS9" s="17"/>
      <c r="AT9" s="17"/>
      <c r="AU9" s="17"/>
      <c r="AV9" s="17"/>
      <c r="AW9" s="17"/>
      <c r="AX9" s="17">
        <v>75000</v>
      </c>
      <c r="AY9" s="17">
        <v>75000</v>
      </c>
      <c r="AZ9" s="17"/>
      <c r="BA9" s="17"/>
      <c r="BB9" s="17">
        <v>75000</v>
      </c>
      <c r="BC9" s="17">
        <v>75000</v>
      </c>
      <c r="BD9" s="17">
        <v>75000</v>
      </c>
      <c r="BE9" s="17">
        <v>75000</v>
      </c>
      <c r="BF9" s="17"/>
      <c r="BG9" s="17"/>
      <c r="BH9" s="17"/>
      <c r="BI9" s="17">
        <v>62080</v>
      </c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</row>
    <row r="10" spans="1:107" ht="14.25" hidden="1" customHeight="1" x14ac:dyDescent="0.3">
      <c r="A10" s="27">
        <v>697</v>
      </c>
      <c r="B10" s="6" t="s">
        <v>32</v>
      </c>
      <c r="C10" s="6" t="s">
        <v>28</v>
      </c>
      <c r="D10" s="6">
        <v>101931</v>
      </c>
      <c r="E10" s="27">
        <v>1</v>
      </c>
      <c r="F10" s="6"/>
      <c r="G10" s="6" t="s">
        <v>29</v>
      </c>
      <c r="H10" s="7" t="s">
        <v>26</v>
      </c>
      <c r="I10" s="21">
        <v>559600</v>
      </c>
      <c r="J10" s="18">
        <f t="shared" ref="J10" si="103">IF(H10="T",0,I10-K10)</f>
        <v>-183400</v>
      </c>
      <c r="K10" s="19">
        <f>SUM(L10:DC10)</f>
        <v>743000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>
        <v>62000</v>
      </c>
      <c r="AH10" s="17">
        <v>62000</v>
      </c>
      <c r="AI10" s="17">
        <v>62000</v>
      </c>
      <c r="AJ10" s="17">
        <v>62000</v>
      </c>
      <c r="AK10" s="17">
        <v>62000</v>
      </c>
      <c r="AL10" s="17"/>
      <c r="AM10" s="17"/>
      <c r="AN10" s="17">
        <v>72000</v>
      </c>
      <c r="AO10" s="17">
        <v>25000</v>
      </c>
      <c r="AP10" s="17">
        <v>25000</v>
      </c>
      <c r="AQ10" s="17">
        <v>25000</v>
      </c>
      <c r="AR10" s="17">
        <v>25000</v>
      </c>
      <c r="AS10" s="17"/>
      <c r="AT10" s="17"/>
      <c r="AU10" s="22">
        <v>25000</v>
      </c>
      <c r="AV10" s="17">
        <v>62000</v>
      </c>
      <c r="AW10" s="17">
        <v>62000</v>
      </c>
      <c r="AX10" s="17">
        <v>62000</v>
      </c>
      <c r="AY10" s="17">
        <v>50000</v>
      </c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</row>
    <row r="11" spans="1:107" ht="14.25" hidden="1" customHeight="1" x14ac:dyDescent="0.3">
      <c r="A11" s="27">
        <v>658</v>
      </c>
      <c r="B11" s="6" t="s">
        <v>33</v>
      </c>
      <c r="C11" s="6" t="s">
        <v>34</v>
      </c>
      <c r="D11" s="6">
        <v>301271</v>
      </c>
      <c r="E11" s="27"/>
      <c r="F11" s="6"/>
      <c r="G11" s="6"/>
      <c r="H11" s="7" t="s">
        <v>26</v>
      </c>
      <c r="I11" s="21">
        <v>3521470</v>
      </c>
      <c r="J11" s="18">
        <f t="shared" si="102"/>
        <v>3521470</v>
      </c>
      <c r="K11" s="19">
        <f t="shared" si="101"/>
        <v>0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22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</row>
    <row r="12" spans="1:107" ht="14.25" hidden="1" customHeight="1" x14ac:dyDescent="0.3">
      <c r="A12" s="27">
        <v>658</v>
      </c>
      <c r="B12" s="6" t="s">
        <v>33</v>
      </c>
      <c r="C12" s="6" t="s">
        <v>35</v>
      </c>
      <c r="D12" s="6">
        <v>141281</v>
      </c>
      <c r="E12" s="27"/>
      <c r="F12" s="6"/>
      <c r="G12" s="6"/>
      <c r="H12" s="7" t="s">
        <v>26</v>
      </c>
      <c r="I12" s="21">
        <v>2235990</v>
      </c>
      <c r="J12" s="18">
        <f t="shared" si="102"/>
        <v>2235990</v>
      </c>
      <c r="K12" s="19">
        <f t="shared" si="101"/>
        <v>0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22"/>
      <c r="AJ12" s="17"/>
      <c r="AK12" s="17"/>
      <c r="AL12" s="17"/>
      <c r="AM12" s="17"/>
      <c r="AN12" s="17"/>
      <c r="AO12" s="22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</row>
    <row r="13" spans="1:107" ht="14.25" hidden="1" customHeight="1" x14ac:dyDescent="0.3">
      <c r="A13" s="27">
        <v>701</v>
      </c>
      <c r="B13" s="6" t="s">
        <v>36</v>
      </c>
      <c r="C13" s="6" t="s">
        <v>37</v>
      </c>
      <c r="D13" s="6">
        <v>260581</v>
      </c>
      <c r="E13" s="27"/>
      <c r="F13" s="6"/>
      <c r="G13" s="6"/>
      <c r="H13" s="7" t="s">
        <v>26</v>
      </c>
      <c r="I13" s="21">
        <v>509800</v>
      </c>
      <c r="J13" s="18">
        <f t="shared" si="102"/>
        <v>509800</v>
      </c>
      <c r="K13" s="19">
        <f t="shared" si="101"/>
        <v>0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22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</row>
    <row r="14" spans="1:107" ht="14.25" hidden="1" customHeight="1" x14ac:dyDescent="0.3">
      <c r="A14" s="27">
        <v>701</v>
      </c>
      <c r="B14" s="6" t="s">
        <v>36</v>
      </c>
      <c r="C14" s="6" t="s">
        <v>38</v>
      </c>
      <c r="D14" s="6">
        <v>262261</v>
      </c>
      <c r="E14" s="27"/>
      <c r="F14" s="6"/>
      <c r="G14" s="6"/>
      <c r="H14" s="7" t="s">
        <v>26</v>
      </c>
      <c r="I14" s="21">
        <v>422800</v>
      </c>
      <c r="J14" s="18">
        <f t="shared" ref="J14" si="104">IF(H14="T",0,I14-K14)</f>
        <v>422800</v>
      </c>
      <c r="K14" s="19">
        <f t="shared" ref="K14" si="105">SUM(L14:DC14)</f>
        <v>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22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</row>
    <row r="15" spans="1:107" ht="14.25" hidden="1" customHeight="1" x14ac:dyDescent="0.3">
      <c r="A15" s="27">
        <v>701</v>
      </c>
      <c r="B15" s="6" t="s">
        <v>36</v>
      </c>
      <c r="C15" s="6" t="s">
        <v>39</v>
      </c>
      <c r="D15" s="6">
        <v>202271</v>
      </c>
      <c r="E15" s="27">
        <v>11</v>
      </c>
      <c r="F15" s="6"/>
      <c r="G15" s="6" t="s">
        <v>25</v>
      </c>
      <c r="H15" s="7" t="s">
        <v>26</v>
      </c>
      <c r="I15" s="21">
        <v>1305110</v>
      </c>
      <c r="J15" s="18">
        <f t="shared" ref="J15" si="106">IF(H15="T",0,I15-K15)</f>
        <v>0</v>
      </c>
      <c r="K15" s="19">
        <f t="shared" si="101"/>
        <v>1305110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22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22">
        <v>100000</v>
      </c>
      <c r="AV15" s="17">
        <v>100000</v>
      </c>
      <c r="AW15" s="17">
        <v>100000</v>
      </c>
      <c r="AX15" s="17">
        <v>100000</v>
      </c>
      <c r="AY15" s="17">
        <v>100000</v>
      </c>
      <c r="AZ15" s="17"/>
      <c r="BA15" s="17"/>
      <c r="BB15" s="17">
        <v>100000</v>
      </c>
      <c r="BC15" s="17">
        <v>100000</v>
      </c>
      <c r="BD15" s="17">
        <v>100000</v>
      </c>
      <c r="BE15" s="17">
        <v>100000</v>
      </c>
      <c r="BF15" s="17"/>
      <c r="BG15" s="17"/>
      <c r="BH15" s="17"/>
      <c r="BI15" s="17">
        <v>100000</v>
      </c>
      <c r="BJ15" s="17">
        <v>100000</v>
      </c>
      <c r="BK15" s="17">
        <v>100000</v>
      </c>
      <c r="BL15" s="17">
        <v>105110</v>
      </c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</row>
    <row r="16" spans="1:107" ht="14.25" hidden="1" customHeight="1" x14ac:dyDescent="0.3">
      <c r="A16" s="27">
        <v>668</v>
      </c>
      <c r="B16" s="6" t="s">
        <v>40</v>
      </c>
      <c r="C16" s="6" t="s">
        <v>41</v>
      </c>
      <c r="D16" s="6">
        <v>201861</v>
      </c>
      <c r="E16" s="27">
        <v>9</v>
      </c>
      <c r="F16" s="6"/>
      <c r="G16" s="6" t="s">
        <v>25</v>
      </c>
      <c r="H16" s="7" t="s">
        <v>26</v>
      </c>
      <c r="I16" s="21">
        <v>677850</v>
      </c>
      <c r="J16" s="18">
        <f t="shared" ref="J16" si="107">IF(H16="T",0,I16-K16)</f>
        <v>-22150</v>
      </c>
      <c r="K16" s="19">
        <f t="shared" si="101"/>
        <v>700000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22"/>
      <c r="AJ16" s="17"/>
      <c r="AK16" s="17"/>
      <c r="AL16" s="17"/>
      <c r="AM16" s="17"/>
      <c r="AN16" s="17"/>
      <c r="AO16" s="17">
        <v>50000</v>
      </c>
      <c r="AP16" s="17">
        <v>50000</v>
      </c>
      <c r="AQ16" s="17">
        <v>75000</v>
      </c>
      <c r="AR16" s="17">
        <v>50000</v>
      </c>
      <c r="AS16" s="17"/>
      <c r="AT16" s="17"/>
      <c r="AU16" s="22">
        <v>75000</v>
      </c>
      <c r="AV16" s="17">
        <v>100000</v>
      </c>
      <c r="AW16" s="17">
        <v>100000</v>
      </c>
      <c r="AX16" s="17">
        <v>100000</v>
      </c>
      <c r="AY16" s="17">
        <v>100000</v>
      </c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</row>
    <row r="17" spans="1:107" ht="14.25" hidden="1" customHeight="1" x14ac:dyDescent="0.3">
      <c r="A17" s="27">
        <v>689</v>
      </c>
      <c r="B17" s="6" t="s">
        <v>42</v>
      </c>
      <c r="C17" s="6" t="s">
        <v>43</v>
      </c>
      <c r="D17" s="6">
        <v>100431</v>
      </c>
      <c r="E17" s="27">
        <v>5</v>
      </c>
      <c r="F17" s="6"/>
      <c r="G17" s="6" t="s">
        <v>25</v>
      </c>
      <c r="H17" s="7" t="s">
        <v>44</v>
      </c>
      <c r="I17" s="21">
        <v>130000</v>
      </c>
      <c r="J17" s="18">
        <f t="shared" ref="J17:J18" si="108">IF(H17="T",0,I17-K17)</f>
        <v>0</v>
      </c>
      <c r="K17" s="19">
        <f t="shared" si="101"/>
        <v>187000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22"/>
      <c r="AJ17" s="17"/>
      <c r="AK17" s="17"/>
      <c r="AL17" s="17"/>
      <c r="AM17" s="17"/>
      <c r="AN17" s="17">
        <v>25000</v>
      </c>
      <c r="AO17" s="17">
        <v>50000</v>
      </c>
      <c r="AP17" s="17">
        <v>100000</v>
      </c>
      <c r="AQ17" s="17">
        <v>12000</v>
      </c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22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22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</row>
    <row r="18" spans="1:107" ht="14.25" hidden="1" customHeight="1" x14ac:dyDescent="0.3">
      <c r="A18" s="27">
        <v>689</v>
      </c>
      <c r="B18" s="6" t="s">
        <v>42</v>
      </c>
      <c r="C18" s="6" t="s">
        <v>45</v>
      </c>
      <c r="D18" s="6">
        <v>200441</v>
      </c>
      <c r="E18" s="27">
        <v>3</v>
      </c>
      <c r="F18" s="6"/>
      <c r="G18" s="6" t="s">
        <v>25</v>
      </c>
      <c r="H18" s="7" t="s">
        <v>44</v>
      </c>
      <c r="I18" s="21">
        <v>403100</v>
      </c>
      <c r="J18" s="18">
        <f t="shared" si="108"/>
        <v>0</v>
      </c>
      <c r="K18" s="19">
        <f t="shared" si="101"/>
        <v>478100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>
        <v>100000</v>
      </c>
      <c r="AI18" s="17">
        <v>100000</v>
      </c>
      <c r="AJ18" s="17">
        <v>100000</v>
      </c>
      <c r="AK18" s="17">
        <v>103100</v>
      </c>
      <c r="AL18" s="17"/>
      <c r="AM18" s="17"/>
      <c r="AN18" s="17">
        <v>75000</v>
      </c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</row>
    <row r="19" spans="1:107" ht="14.25" hidden="1" customHeight="1" x14ac:dyDescent="0.3">
      <c r="A19" s="27">
        <v>680</v>
      </c>
      <c r="B19" s="6" t="s">
        <v>46</v>
      </c>
      <c r="C19" s="6" t="s">
        <v>28</v>
      </c>
      <c r="D19" s="6">
        <v>101931</v>
      </c>
      <c r="E19" s="27">
        <v>8</v>
      </c>
      <c r="F19" s="6"/>
      <c r="G19" s="6" t="s">
        <v>29</v>
      </c>
      <c r="H19" s="7" t="s">
        <v>26</v>
      </c>
      <c r="I19" s="21">
        <v>380160</v>
      </c>
      <c r="J19" s="18">
        <f t="shared" ref="J19" si="109">IF(H19="T",0,I19-K19)</f>
        <v>0</v>
      </c>
      <c r="K19" s="19">
        <f t="shared" si="101"/>
        <v>380160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22"/>
      <c r="AJ19" s="17"/>
      <c r="AK19" s="17">
        <v>50000</v>
      </c>
      <c r="AL19" s="17"/>
      <c r="AM19" s="17"/>
      <c r="AN19" s="17">
        <v>75000</v>
      </c>
      <c r="AO19" s="17">
        <v>50000</v>
      </c>
      <c r="AP19" s="17">
        <v>50000</v>
      </c>
      <c r="AQ19" s="17">
        <v>50000</v>
      </c>
      <c r="AR19" s="17"/>
      <c r="AS19" s="17"/>
      <c r="AT19" s="17"/>
      <c r="AU19" s="22">
        <v>50000</v>
      </c>
      <c r="AV19" s="17">
        <v>55160</v>
      </c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22"/>
      <c r="CV19" s="17"/>
      <c r="CW19" s="17"/>
      <c r="CX19" s="17"/>
      <c r="CY19" s="17"/>
      <c r="CZ19" s="17"/>
      <c r="DA19" s="17"/>
      <c r="DB19" s="17"/>
      <c r="DC19" s="17"/>
    </row>
    <row r="20" spans="1:107" ht="14.25" customHeight="1" x14ac:dyDescent="0.3">
      <c r="A20" s="27">
        <v>657</v>
      </c>
      <c r="B20" s="6" t="s">
        <v>47</v>
      </c>
      <c r="C20" s="6" t="s">
        <v>45</v>
      </c>
      <c r="D20" s="6">
        <v>200441</v>
      </c>
      <c r="E20" s="27">
        <v>3</v>
      </c>
      <c r="F20" s="6"/>
      <c r="G20" s="6" t="s">
        <v>29</v>
      </c>
      <c r="H20" s="7" t="s">
        <v>26</v>
      </c>
      <c r="I20" s="21">
        <v>813990</v>
      </c>
      <c r="J20" s="18">
        <f t="shared" si="102"/>
        <v>-236010</v>
      </c>
      <c r="K20" s="19">
        <f t="shared" si="101"/>
        <v>1050000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>
        <v>50000</v>
      </c>
      <c r="AH20" s="17">
        <v>100000</v>
      </c>
      <c r="AI20" s="17">
        <v>125000</v>
      </c>
      <c r="AJ20" s="17">
        <v>100000</v>
      </c>
      <c r="AK20" s="17">
        <v>100000</v>
      </c>
      <c r="AL20" s="17"/>
      <c r="AM20" s="17"/>
      <c r="AN20" s="17">
        <v>100000</v>
      </c>
      <c r="AO20" s="17">
        <v>100000</v>
      </c>
      <c r="AP20" s="17">
        <v>100000</v>
      </c>
      <c r="AQ20" s="17">
        <v>125000</v>
      </c>
      <c r="AR20" s="17">
        <v>100000</v>
      </c>
      <c r="AS20" s="17"/>
      <c r="AT20" s="17"/>
      <c r="AU20" s="22">
        <v>50000</v>
      </c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</row>
    <row r="21" spans="1:107" ht="14.25" hidden="1" customHeight="1" x14ac:dyDescent="0.3">
      <c r="A21" s="27">
        <v>677</v>
      </c>
      <c r="B21" s="6" t="s">
        <v>48</v>
      </c>
      <c r="C21" s="6" t="s">
        <v>41</v>
      </c>
      <c r="D21" s="6">
        <v>201861</v>
      </c>
      <c r="E21" s="27"/>
      <c r="F21" s="6"/>
      <c r="G21" s="6"/>
      <c r="H21" s="7" t="s">
        <v>26</v>
      </c>
      <c r="I21" s="21">
        <v>339130</v>
      </c>
      <c r="J21" s="18">
        <f t="shared" ref="J21" si="110">IF(H21="T",0,I21-K21)</f>
        <v>339130</v>
      </c>
      <c r="K21" s="19">
        <f t="shared" si="101"/>
        <v>0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22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</row>
    <row r="22" spans="1:107" ht="14.25" hidden="1" customHeight="1" x14ac:dyDescent="0.3">
      <c r="A22" s="27">
        <v>674</v>
      </c>
      <c r="B22" s="6" t="s">
        <v>49</v>
      </c>
      <c r="C22" s="6" t="s">
        <v>50</v>
      </c>
      <c r="D22" s="6">
        <v>200651</v>
      </c>
      <c r="E22" s="27">
        <v>9</v>
      </c>
      <c r="F22" s="6"/>
      <c r="G22" s="6" t="s">
        <v>25</v>
      </c>
      <c r="H22" s="7" t="s">
        <v>44</v>
      </c>
      <c r="I22" s="21">
        <v>468800</v>
      </c>
      <c r="J22" s="18">
        <f t="shared" si="102"/>
        <v>0</v>
      </c>
      <c r="K22" s="19">
        <f t="shared" si="101"/>
        <v>75000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22"/>
      <c r="AJ22" s="17"/>
      <c r="AK22" s="17">
        <v>25000</v>
      </c>
      <c r="AL22" s="17"/>
      <c r="AM22" s="17"/>
      <c r="AN22" s="17">
        <v>50000</v>
      </c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</row>
    <row r="23" spans="1:107" ht="14.25" hidden="1" customHeight="1" x14ac:dyDescent="0.3">
      <c r="A23" s="27">
        <v>674</v>
      </c>
      <c r="B23" s="6" t="s">
        <v>49</v>
      </c>
      <c r="C23" s="6" t="s">
        <v>51</v>
      </c>
      <c r="D23" s="6">
        <v>125681</v>
      </c>
      <c r="E23" s="27">
        <v>7</v>
      </c>
      <c r="F23" s="6"/>
      <c r="G23" s="6" t="s">
        <v>25</v>
      </c>
      <c r="H23" s="7" t="s">
        <v>44</v>
      </c>
      <c r="I23" s="21">
        <v>135430</v>
      </c>
      <c r="J23" s="18">
        <f t="shared" ref="J23" si="111">IF(H23="T",0,I23-K23)</f>
        <v>0</v>
      </c>
      <c r="K23" s="19">
        <f t="shared" ref="K23" si="112">SUM(L23:DC23)</f>
        <v>185430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>
        <v>75000</v>
      </c>
      <c r="AJ23" s="17">
        <v>60430</v>
      </c>
      <c r="AK23" s="17">
        <v>50000</v>
      </c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</row>
    <row r="24" spans="1:107" ht="14.25" hidden="1" customHeight="1" x14ac:dyDescent="0.3">
      <c r="A24" s="27">
        <v>686</v>
      </c>
      <c r="B24" s="6" t="s">
        <v>52</v>
      </c>
      <c r="C24" s="6" t="s">
        <v>53</v>
      </c>
      <c r="D24" s="6">
        <v>200531</v>
      </c>
      <c r="E24" s="27">
        <v>3</v>
      </c>
      <c r="F24" s="6"/>
      <c r="G24" s="6" t="s">
        <v>25</v>
      </c>
      <c r="H24" s="7" t="s">
        <v>44</v>
      </c>
      <c r="I24" s="21">
        <v>121900</v>
      </c>
      <c r="J24" s="18">
        <f t="shared" ref="J24" si="113">IF(H24="T",0,I24-K24)</f>
        <v>0</v>
      </c>
      <c r="K24" s="19">
        <f t="shared" si="101"/>
        <v>87000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>
        <v>25000</v>
      </c>
      <c r="AC24" s="17">
        <v>25000</v>
      </c>
      <c r="AD24" s="17">
        <v>25000</v>
      </c>
      <c r="AE24" s="17"/>
      <c r="AF24" s="17"/>
      <c r="AG24" s="17">
        <v>12000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</row>
    <row r="25" spans="1:107" ht="14.25" hidden="1" customHeight="1" x14ac:dyDescent="0.3">
      <c r="A25" s="27">
        <v>663</v>
      </c>
      <c r="B25" s="6" t="s">
        <v>54</v>
      </c>
      <c r="C25" s="6" t="s">
        <v>28</v>
      </c>
      <c r="D25" s="6">
        <v>101931</v>
      </c>
      <c r="E25" s="27"/>
      <c r="F25" s="6"/>
      <c r="G25" s="6" t="s">
        <v>29</v>
      </c>
      <c r="H25" s="7" t="s">
        <v>26</v>
      </c>
      <c r="I25" s="21">
        <v>900000</v>
      </c>
      <c r="J25" s="18">
        <f t="shared" ref="J25" si="114">IF(H25="T",0,I25-K25)</f>
        <v>-375000</v>
      </c>
      <c r="K25" s="19">
        <f t="shared" ref="K25" si="115">SUM(L25:DC25)</f>
        <v>1275000</v>
      </c>
      <c r="L25" s="17"/>
      <c r="M25" s="17"/>
      <c r="N25" s="17"/>
      <c r="O25" s="17"/>
      <c r="P25" s="17"/>
      <c r="Q25" s="17"/>
      <c r="R25" s="17"/>
      <c r="S25" s="17"/>
      <c r="T25" s="17">
        <v>75000</v>
      </c>
      <c r="U25" s="17">
        <v>100000</v>
      </c>
      <c r="V25" s="17">
        <v>100000</v>
      </c>
      <c r="W25" s="17">
        <v>100000</v>
      </c>
      <c r="X25" s="17"/>
      <c r="Y25" s="17"/>
      <c r="Z25" s="17">
        <v>100000</v>
      </c>
      <c r="AA25" s="17">
        <v>100000</v>
      </c>
      <c r="AB25" s="17">
        <v>100000</v>
      </c>
      <c r="AC25" s="17">
        <v>100000</v>
      </c>
      <c r="AD25" s="17">
        <v>100000</v>
      </c>
      <c r="AE25" s="17"/>
      <c r="AF25" s="17"/>
      <c r="AG25" s="17">
        <v>100000</v>
      </c>
      <c r="AH25" s="17">
        <v>100000</v>
      </c>
      <c r="AI25" s="17">
        <v>100000</v>
      </c>
      <c r="AJ25" s="17">
        <v>100000</v>
      </c>
      <c r="AK25" s="22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</row>
    <row r="26" spans="1:107" ht="14.25" hidden="1" customHeight="1" x14ac:dyDescent="0.3">
      <c r="A26" s="27">
        <v>663</v>
      </c>
      <c r="B26" s="6" t="s">
        <v>54</v>
      </c>
      <c r="C26" s="6" t="s">
        <v>43</v>
      </c>
      <c r="D26" s="6">
        <v>100431</v>
      </c>
      <c r="E26" s="27">
        <v>5</v>
      </c>
      <c r="F26" s="6"/>
      <c r="G26" s="6" t="s">
        <v>25</v>
      </c>
      <c r="H26" s="7" t="s">
        <v>26</v>
      </c>
      <c r="I26" s="21">
        <v>1628210</v>
      </c>
      <c r="J26" s="18">
        <f t="shared" ref="J26" si="116">IF(H26="T",0,I26-K26)</f>
        <v>0</v>
      </c>
      <c r="K26" s="19">
        <f t="shared" ref="K26" si="117">SUM(L26:DC26)</f>
        <v>1628210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>
        <v>100000</v>
      </c>
      <c r="AH26" s="17">
        <v>100000</v>
      </c>
      <c r="AI26" s="17">
        <v>100000</v>
      </c>
      <c r="AJ26" s="17">
        <v>100000</v>
      </c>
      <c r="AK26" s="17">
        <v>200000</v>
      </c>
      <c r="AL26" s="17"/>
      <c r="AM26" s="17"/>
      <c r="AN26" s="17">
        <v>125000</v>
      </c>
      <c r="AO26" s="17">
        <v>150000</v>
      </c>
      <c r="AP26" s="17">
        <v>100000</v>
      </c>
      <c r="AQ26" s="17">
        <v>125000</v>
      </c>
      <c r="AR26" s="17">
        <v>100000</v>
      </c>
      <c r="AS26" s="17"/>
      <c r="AT26" s="17"/>
      <c r="AU26" s="22">
        <v>75000</v>
      </c>
      <c r="AV26" s="17">
        <v>100000</v>
      </c>
      <c r="AW26" s="17">
        <v>100000</v>
      </c>
      <c r="AX26" s="17">
        <v>100000</v>
      </c>
      <c r="AY26" s="17">
        <v>53210</v>
      </c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</row>
    <row r="27" spans="1:107" ht="14.25" hidden="1" customHeight="1" x14ac:dyDescent="0.3">
      <c r="A27" s="27">
        <v>669</v>
      </c>
      <c r="B27" s="6" t="s">
        <v>55</v>
      </c>
      <c r="C27" s="6" t="s">
        <v>56</v>
      </c>
      <c r="D27" s="6" t="s">
        <v>57</v>
      </c>
      <c r="E27" s="27"/>
      <c r="F27" s="6"/>
      <c r="G27" s="6"/>
      <c r="H27" s="7" t="s">
        <v>26</v>
      </c>
      <c r="I27" s="21">
        <v>438620</v>
      </c>
      <c r="J27" s="18">
        <f>IF(H27="T",0,I27-K27)</f>
        <v>438620</v>
      </c>
      <c r="K27" s="19">
        <f t="shared" si="101"/>
        <v>0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22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</row>
    <row r="28" spans="1:107" ht="14.25" hidden="1" customHeight="1" x14ac:dyDescent="0.3">
      <c r="A28" s="27">
        <v>703</v>
      </c>
      <c r="B28" s="6" t="s">
        <v>58</v>
      </c>
      <c r="C28" s="6" t="s">
        <v>59</v>
      </c>
      <c r="D28" s="6">
        <v>100511</v>
      </c>
      <c r="E28" s="27">
        <v>5</v>
      </c>
      <c r="F28" s="27"/>
      <c r="G28" s="6" t="s">
        <v>29</v>
      </c>
      <c r="H28" s="7" t="s">
        <v>44</v>
      </c>
      <c r="I28" s="21">
        <v>157350</v>
      </c>
      <c r="J28" s="18">
        <f t="shared" si="102"/>
        <v>0</v>
      </c>
      <c r="K28" s="19">
        <f t="shared" si="101"/>
        <v>175000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>
        <v>25000</v>
      </c>
      <c r="AH28" s="17">
        <v>50000</v>
      </c>
      <c r="AI28" s="17">
        <v>50000</v>
      </c>
      <c r="AJ28" s="17">
        <v>50000</v>
      </c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</row>
    <row r="29" spans="1:107" ht="14.25" hidden="1" customHeight="1" x14ac:dyDescent="0.3">
      <c r="A29" s="27">
        <v>703</v>
      </c>
      <c r="B29" s="6" t="s">
        <v>58</v>
      </c>
      <c r="C29" s="6" t="s">
        <v>60</v>
      </c>
      <c r="D29" s="6">
        <v>125551</v>
      </c>
      <c r="E29" s="27">
        <v>7</v>
      </c>
      <c r="F29" s="6"/>
      <c r="G29" s="6" t="s">
        <v>25</v>
      </c>
      <c r="H29" s="7" t="s">
        <v>44</v>
      </c>
      <c r="I29" s="16">
        <v>4480</v>
      </c>
      <c r="J29" s="18">
        <f t="shared" si="102"/>
        <v>0</v>
      </c>
      <c r="K29" s="19">
        <f t="shared" si="101"/>
        <v>4480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22"/>
      <c r="AJ29" s="17">
        <v>4480</v>
      </c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</row>
    <row r="30" spans="1:107" ht="14.25" hidden="1" customHeight="1" x14ac:dyDescent="0.3">
      <c r="A30" s="27">
        <v>703</v>
      </c>
      <c r="B30" s="6" t="s">
        <v>58</v>
      </c>
      <c r="C30" s="6" t="s">
        <v>61</v>
      </c>
      <c r="D30" s="6">
        <v>200521</v>
      </c>
      <c r="E30" s="27">
        <v>3</v>
      </c>
      <c r="F30" s="6"/>
      <c r="G30" s="6" t="s">
        <v>25</v>
      </c>
      <c r="H30" s="7" t="s">
        <v>44</v>
      </c>
      <c r="I30" s="21">
        <v>118716</v>
      </c>
      <c r="J30" s="18">
        <f t="shared" si="102"/>
        <v>0</v>
      </c>
      <c r="K30" s="19">
        <f t="shared" si="101"/>
        <v>146716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>
        <v>25000</v>
      </c>
      <c r="AD30" s="17">
        <v>93716</v>
      </c>
      <c r="AE30" s="17"/>
      <c r="AF30" s="17"/>
      <c r="AG30" s="17">
        <v>25000</v>
      </c>
      <c r="AH30" s="17">
        <v>3000</v>
      </c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</row>
    <row r="31" spans="1:107" ht="14.25" hidden="1" customHeight="1" x14ac:dyDescent="0.3">
      <c r="A31" s="27">
        <v>703</v>
      </c>
      <c r="B31" s="6" t="s">
        <v>58</v>
      </c>
      <c r="C31" s="6" t="s">
        <v>62</v>
      </c>
      <c r="D31" s="6">
        <v>206411</v>
      </c>
      <c r="E31" s="27"/>
      <c r="F31" s="6"/>
      <c r="G31" s="6" t="s">
        <v>25</v>
      </c>
      <c r="H31" s="7" t="s">
        <v>44</v>
      </c>
      <c r="I31" s="21">
        <v>97362</v>
      </c>
      <c r="J31" s="18">
        <f t="shared" si="102"/>
        <v>0</v>
      </c>
      <c r="K31" s="19">
        <f t="shared" si="101"/>
        <v>97362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>
        <v>25000</v>
      </c>
      <c r="AC31" s="17">
        <v>72362</v>
      </c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</row>
    <row r="32" spans="1:107" ht="14.25" hidden="1" customHeight="1" x14ac:dyDescent="0.3">
      <c r="A32" s="27">
        <v>665</v>
      </c>
      <c r="B32" s="6" t="s">
        <v>63</v>
      </c>
      <c r="C32" s="6" t="s">
        <v>28</v>
      </c>
      <c r="D32" s="6">
        <v>101931</v>
      </c>
      <c r="E32" s="27">
        <v>1</v>
      </c>
      <c r="F32" s="6"/>
      <c r="G32" s="6" t="s">
        <v>29</v>
      </c>
      <c r="H32" s="7" t="s">
        <v>26</v>
      </c>
      <c r="I32" s="21">
        <v>735210</v>
      </c>
      <c r="J32" s="18">
        <f t="shared" si="102"/>
        <v>243210</v>
      </c>
      <c r="K32" s="19">
        <f t="shared" si="101"/>
        <v>492000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>
        <v>60000</v>
      </c>
      <c r="AA32" s="17">
        <v>60000</v>
      </c>
      <c r="AB32" s="17">
        <v>60000</v>
      </c>
      <c r="AC32" s="17">
        <v>60000</v>
      </c>
      <c r="AD32" s="17">
        <v>60000</v>
      </c>
      <c r="AE32" s="17"/>
      <c r="AF32" s="17"/>
      <c r="AG32" s="17">
        <v>60000</v>
      </c>
      <c r="AH32" s="17">
        <v>60000</v>
      </c>
      <c r="AI32" s="17">
        <v>60000</v>
      </c>
      <c r="AJ32" s="17">
        <v>12000</v>
      </c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22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</row>
    <row r="33" spans="1:107" ht="14.25" hidden="1" customHeight="1" x14ac:dyDescent="0.3">
      <c r="A33" s="27">
        <v>665</v>
      </c>
      <c r="B33" s="6" t="s">
        <v>63</v>
      </c>
      <c r="C33" s="6" t="s">
        <v>64</v>
      </c>
      <c r="D33" s="6">
        <v>100551</v>
      </c>
      <c r="E33" s="27"/>
      <c r="F33" s="6"/>
      <c r="G33" s="6"/>
      <c r="H33" s="7" t="s">
        <v>26</v>
      </c>
      <c r="I33" s="21">
        <v>270500</v>
      </c>
      <c r="J33" s="18">
        <f t="shared" ref="J33" si="118">IF(H33="T",0,I33-K33)</f>
        <v>270500</v>
      </c>
      <c r="K33" s="19">
        <f t="shared" ref="K33" si="119">SUM(L33:DC33)</f>
        <v>0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22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22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</row>
    <row r="34" spans="1:107" ht="14.25" hidden="1" customHeight="1" x14ac:dyDescent="0.3">
      <c r="A34" s="27">
        <v>665</v>
      </c>
      <c r="B34" s="6" t="s">
        <v>63</v>
      </c>
      <c r="C34" s="6" t="s">
        <v>65</v>
      </c>
      <c r="D34" s="6">
        <v>161391</v>
      </c>
      <c r="E34" s="27"/>
      <c r="F34" s="27"/>
      <c r="G34" s="6"/>
      <c r="H34" s="7" t="s">
        <v>26</v>
      </c>
      <c r="I34" s="21">
        <v>293850</v>
      </c>
      <c r="J34" s="18">
        <f t="shared" si="102"/>
        <v>293850</v>
      </c>
      <c r="K34" s="19">
        <f t="shared" si="101"/>
        <v>0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22"/>
      <c r="AD34" s="17"/>
      <c r="AE34" s="17"/>
      <c r="AF34" s="17"/>
      <c r="AG34" s="17"/>
      <c r="AH34" s="17"/>
      <c r="AI34" s="22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</row>
    <row r="35" spans="1:107" ht="14.25" hidden="1" customHeight="1" x14ac:dyDescent="0.3">
      <c r="A35" s="27">
        <v>665</v>
      </c>
      <c r="B35" s="6" t="s">
        <v>63</v>
      </c>
      <c r="C35" s="6" t="s">
        <v>66</v>
      </c>
      <c r="D35" s="6">
        <v>200561</v>
      </c>
      <c r="E35" s="27"/>
      <c r="F35" s="27"/>
      <c r="G35" s="6"/>
      <c r="H35" s="7" t="s">
        <v>26</v>
      </c>
      <c r="I35" s="21">
        <v>58000</v>
      </c>
      <c r="J35" s="18">
        <f t="shared" si="102"/>
        <v>58000</v>
      </c>
      <c r="K35" s="19">
        <f t="shared" si="101"/>
        <v>0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22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</row>
    <row r="36" spans="1:107" ht="14.25" hidden="1" customHeight="1" x14ac:dyDescent="0.3">
      <c r="A36" s="27">
        <v>667</v>
      </c>
      <c r="B36" s="6" t="s">
        <v>67</v>
      </c>
      <c r="C36" s="6" t="s">
        <v>68</v>
      </c>
      <c r="D36" s="6">
        <v>100581</v>
      </c>
      <c r="E36" s="27"/>
      <c r="F36" s="6"/>
      <c r="G36" s="6"/>
      <c r="H36" s="7" t="s">
        <v>26</v>
      </c>
      <c r="I36" s="21">
        <v>230340</v>
      </c>
      <c r="J36" s="18">
        <f t="shared" si="102"/>
        <v>230340</v>
      </c>
      <c r="K36" s="19">
        <f t="shared" si="101"/>
        <v>0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22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22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</row>
    <row r="37" spans="1:107" ht="14.25" hidden="1" customHeight="1" x14ac:dyDescent="0.3">
      <c r="A37" s="27">
        <v>667</v>
      </c>
      <c r="B37" s="6" t="s">
        <v>67</v>
      </c>
      <c r="C37" s="6" t="s">
        <v>37</v>
      </c>
      <c r="D37" s="6">
        <v>260581</v>
      </c>
      <c r="E37" s="27"/>
      <c r="F37" s="6"/>
      <c r="G37" s="6"/>
      <c r="H37" s="7" t="s">
        <v>26</v>
      </c>
      <c r="I37" s="21">
        <v>361350</v>
      </c>
      <c r="J37" s="18">
        <f>IF(H37="T",0,I37-K37)</f>
        <v>361350</v>
      </c>
      <c r="K37" s="19">
        <f t="shared" si="101"/>
        <v>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22"/>
      <c r="AJ37" s="17"/>
      <c r="AK37" s="17"/>
      <c r="AL37" s="17"/>
      <c r="AM37" s="22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22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</row>
    <row r="38" spans="1:107" ht="14.25" hidden="1" customHeight="1" x14ac:dyDescent="0.3">
      <c r="A38" s="27">
        <v>667</v>
      </c>
      <c r="B38" s="6" t="s">
        <v>67</v>
      </c>
      <c r="C38" s="6" t="s">
        <v>69</v>
      </c>
      <c r="D38" s="6">
        <v>200591</v>
      </c>
      <c r="E38" s="27">
        <v>2</v>
      </c>
      <c r="F38" s="6"/>
      <c r="G38" s="6" t="s">
        <v>25</v>
      </c>
      <c r="H38" s="7" t="s">
        <v>26</v>
      </c>
      <c r="I38" s="21">
        <v>1712620</v>
      </c>
      <c r="J38" s="18">
        <f t="shared" si="102"/>
        <v>0</v>
      </c>
      <c r="K38" s="19">
        <f t="shared" si="101"/>
        <v>1712620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>
        <v>25000</v>
      </c>
      <c r="AA38" s="17">
        <v>25000</v>
      </c>
      <c r="AB38" s="17">
        <v>25000</v>
      </c>
      <c r="AC38" s="17">
        <v>25000</v>
      </c>
      <c r="AD38" s="17">
        <v>25000</v>
      </c>
      <c r="AE38" s="17"/>
      <c r="AF38" s="17"/>
      <c r="AG38" s="17">
        <v>100000</v>
      </c>
      <c r="AH38" s="17">
        <v>150000</v>
      </c>
      <c r="AI38" s="17">
        <v>150000</v>
      </c>
      <c r="AJ38" s="17">
        <v>150000</v>
      </c>
      <c r="AK38" s="17">
        <v>175000</v>
      </c>
      <c r="AL38" s="17"/>
      <c r="AM38" s="17"/>
      <c r="AN38" s="17">
        <v>100000</v>
      </c>
      <c r="AO38" s="17">
        <v>100000</v>
      </c>
      <c r="AP38" s="17">
        <v>100000</v>
      </c>
      <c r="AQ38" s="17">
        <v>100000</v>
      </c>
      <c r="AR38" s="17">
        <v>100000</v>
      </c>
      <c r="AS38" s="17"/>
      <c r="AT38" s="17"/>
      <c r="AU38" s="22">
        <v>100000</v>
      </c>
      <c r="AV38" s="17">
        <v>100000</v>
      </c>
      <c r="AW38" s="17">
        <v>100000</v>
      </c>
      <c r="AX38" s="17">
        <v>62620</v>
      </c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</row>
    <row r="39" spans="1:107" ht="14.25" hidden="1" customHeight="1" x14ac:dyDescent="0.3">
      <c r="A39" s="27">
        <v>667</v>
      </c>
      <c r="B39" s="6" t="s">
        <v>67</v>
      </c>
      <c r="C39" s="6" t="s">
        <v>70</v>
      </c>
      <c r="D39" s="6" t="s">
        <v>57</v>
      </c>
      <c r="E39" s="27"/>
      <c r="F39" s="6"/>
      <c r="G39" s="6"/>
      <c r="H39" s="7" t="s">
        <v>26</v>
      </c>
      <c r="I39" s="21">
        <v>92820</v>
      </c>
      <c r="J39" s="18">
        <f t="shared" si="102"/>
        <v>92820</v>
      </c>
      <c r="K39" s="19">
        <f t="shared" si="101"/>
        <v>0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22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</row>
    <row r="40" spans="1:107" ht="14.25" hidden="1" customHeight="1" x14ac:dyDescent="0.3">
      <c r="A40" s="27">
        <v>673</v>
      </c>
      <c r="B40" s="6" t="s">
        <v>71</v>
      </c>
      <c r="C40" s="38" t="s">
        <v>28</v>
      </c>
      <c r="D40" s="6">
        <v>101931</v>
      </c>
      <c r="E40" s="27">
        <v>1</v>
      </c>
      <c r="F40" s="6"/>
      <c r="G40" s="6" t="s">
        <v>29</v>
      </c>
      <c r="H40" s="7" t="s">
        <v>26</v>
      </c>
      <c r="I40" s="21">
        <v>919730</v>
      </c>
      <c r="J40" s="18">
        <f>IF(H40="T",0,I40-K40)</f>
        <v>-60000</v>
      </c>
      <c r="K40" s="19">
        <f>SUM(L40:DC40)</f>
        <v>979730</v>
      </c>
      <c r="L40" s="17">
        <v>36000</v>
      </c>
      <c r="M40" s="17">
        <v>36000</v>
      </c>
      <c r="N40" s="17">
        <v>36000</v>
      </c>
      <c r="O40" s="17">
        <v>24000</v>
      </c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22"/>
      <c r="AJ40" s="17">
        <v>48000</v>
      </c>
      <c r="AK40" s="17">
        <v>60000</v>
      </c>
      <c r="AL40" s="17"/>
      <c r="AM40" s="17"/>
      <c r="AN40" s="17">
        <v>60000</v>
      </c>
      <c r="AO40" s="17">
        <v>60000</v>
      </c>
      <c r="AP40" s="17">
        <v>60000</v>
      </c>
      <c r="AQ40" s="17">
        <v>60000</v>
      </c>
      <c r="AR40" s="17">
        <v>60000</v>
      </c>
      <c r="AS40" s="17"/>
      <c r="AT40" s="17"/>
      <c r="AU40" s="22">
        <v>60000</v>
      </c>
      <c r="AV40" s="17">
        <v>60000</v>
      </c>
      <c r="AW40" s="17">
        <v>60000</v>
      </c>
      <c r="AX40" s="17">
        <v>60000</v>
      </c>
      <c r="AY40" s="17">
        <v>60000</v>
      </c>
      <c r="AZ40" s="17"/>
      <c r="BA40" s="17"/>
      <c r="BB40" s="17">
        <v>60000</v>
      </c>
      <c r="BC40" s="17">
        <v>60000</v>
      </c>
      <c r="BD40" s="17">
        <v>19730</v>
      </c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</row>
    <row r="41" spans="1:107" ht="14.25" hidden="1" customHeight="1" x14ac:dyDescent="0.3">
      <c r="A41" s="27">
        <v>662</v>
      </c>
      <c r="B41" s="6" t="s">
        <v>72</v>
      </c>
      <c r="C41" s="6" t="s">
        <v>73</v>
      </c>
      <c r="D41" s="6">
        <v>201991</v>
      </c>
      <c r="E41" s="27"/>
      <c r="F41" s="6"/>
      <c r="G41" s="6"/>
      <c r="H41" s="7" t="s">
        <v>26</v>
      </c>
      <c r="I41" s="21">
        <v>338535</v>
      </c>
      <c r="J41" s="18">
        <f t="shared" si="102"/>
        <v>338535</v>
      </c>
      <c r="K41" s="19">
        <f t="shared" si="101"/>
        <v>0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22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</row>
    <row r="42" spans="1:107" ht="14.25" hidden="1" customHeight="1" x14ac:dyDescent="0.3">
      <c r="A42" s="27">
        <v>685</v>
      </c>
      <c r="B42" s="6" t="s">
        <v>74</v>
      </c>
      <c r="C42" s="6" t="s">
        <v>75</v>
      </c>
      <c r="D42" s="6">
        <v>100631</v>
      </c>
      <c r="E42" s="27">
        <v>5</v>
      </c>
      <c r="F42" s="27"/>
      <c r="G42" s="6" t="s">
        <v>29</v>
      </c>
      <c r="H42" s="7" t="s">
        <v>26</v>
      </c>
      <c r="I42" s="21">
        <v>1074640</v>
      </c>
      <c r="J42" s="18">
        <f t="shared" si="102"/>
        <v>250000</v>
      </c>
      <c r="K42" s="19">
        <f t="shared" ref="K42:K73" si="120">SUM(L42:DC42)</f>
        <v>824640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22"/>
      <c r="AD42" s="17"/>
      <c r="AE42" s="17"/>
      <c r="AF42" s="17"/>
      <c r="AG42" s="17"/>
      <c r="AH42" s="17"/>
      <c r="AI42" s="22"/>
      <c r="AJ42" s="17"/>
      <c r="AK42" s="17"/>
      <c r="AL42" s="17"/>
      <c r="AM42" s="17"/>
      <c r="AN42" s="17"/>
      <c r="AO42" s="17"/>
      <c r="AP42" s="17">
        <v>50000</v>
      </c>
      <c r="AQ42" s="17">
        <v>50000</v>
      </c>
      <c r="AR42" s="17">
        <v>100000</v>
      </c>
      <c r="AS42" s="17"/>
      <c r="AT42" s="17"/>
      <c r="AU42" s="22">
        <v>100000</v>
      </c>
      <c r="AV42" s="17">
        <v>100000</v>
      </c>
      <c r="AW42" s="17">
        <v>100000</v>
      </c>
      <c r="AX42" s="17">
        <v>100000</v>
      </c>
      <c r="AY42" s="17">
        <v>100000</v>
      </c>
      <c r="AZ42" s="17"/>
      <c r="BA42" s="17"/>
      <c r="BB42" s="17">
        <v>124640</v>
      </c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</row>
    <row r="43" spans="1:107" ht="14.25" hidden="1" customHeight="1" x14ac:dyDescent="0.3">
      <c r="A43" s="27">
        <v>685</v>
      </c>
      <c r="B43" s="6" t="s">
        <v>74</v>
      </c>
      <c r="C43" s="6" t="s">
        <v>76</v>
      </c>
      <c r="D43" s="6">
        <v>111471</v>
      </c>
      <c r="E43" s="27"/>
      <c r="F43" s="27"/>
      <c r="G43" s="6"/>
      <c r="H43" s="7" t="s">
        <v>26</v>
      </c>
      <c r="I43" s="21">
        <v>455940</v>
      </c>
      <c r="J43" s="18">
        <f t="shared" si="102"/>
        <v>455940</v>
      </c>
      <c r="K43" s="19">
        <f t="shared" si="120"/>
        <v>0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22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</row>
    <row r="44" spans="1:107" ht="14.25" hidden="1" customHeight="1" x14ac:dyDescent="0.3">
      <c r="A44" s="27">
        <v>685</v>
      </c>
      <c r="B44" s="6" t="s">
        <v>74</v>
      </c>
      <c r="C44" s="6" t="s">
        <v>77</v>
      </c>
      <c r="D44" s="6">
        <v>260631</v>
      </c>
      <c r="E44" s="27">
        <v>4</v>
      </c>
      <c r="F44" s="27"/>
      <c r="G44" s="6" t="s">
        <v>25</v>
      </c>
      <c r="H44" s="7" t="s">
        <v>26</v>
      </c>
      <c r="I44" s="21">
        <v>1402220</v>
      </c>
      <c r="J44" s="18">
        <f t="shared" ref="J44" si="121">IF(H44="T",0,I44-K44)</f>
        <v>0</v>
      </c>
      <c r="K44" s="19">
        <f t="shared" si="120"/>
        <v>1402220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>
        <v>75000</v>
      </c>
      <c r="AJ44" s="17">
        <v>200000</v>
      </c>
      <c r="AK44" s="17">
        <v>125000</v>
      </c>
      <c r="AL44" s="17"/>
      <c r="AM44" s="17"/>
      <c r="AN44" s="17">
        <v>200000</v>
      </c>
      <c r="AO44" s="17">
        <v>200000</v>
      </c>
      <c r="AP44" s="17">
        <v>175000</v>
      </c>
      <c r="AQ44" s="17">
        <v>125000</v>
      </c>
      <c r="AR44" s="17">
        <v>50000</v>
      </c>
      <c r="AS44" s="17"/>
      <c r="AT44" s="17"/>
      <c r="AU44" s="22">
        <v>100000</v>
      </c>
      <c r="AV44" s="17">
        <v>100000</v>
      </c>
      <c r="AW44" s="17">
        <v>52220</v>
      </c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</row>
    <row r="45" spans="1:107" ht="14.25" hidden="1" customHeight="1" x14ac:dyDescent="0.3">
      <c r="A45" s="27">
        <v>685</v>
      </c>
      <c r="B45" s="6" t="s">
        <v>74</v>
      </c>
      <c r="C45" s="6" t="s">
        <v>78</v>
      </c>
      <c r="D45" s="6">
        <v>261471</v>
      </c>
      <c r="E45" s="27">
        <v>4</v>
      </c>
      <c r="F45" s="27"/>
      <c r="G45" s="6" t="s">
        <v>25</v>
      </c>
      <c r="H45" s="7" t="s">
        <v>26</v>
      </c>
      <c r="I45" s="21">
        <v>199200</v>
      </c>
      <c r="J45" s="18">
        <f t="shared" ref="J45" si="122">IF(H45="T",0,I45-K45)</f>
        <v>0</v>
      </c>
      <c r="K45" s="19">
        <f t="shared" ref="K45" si="123">SUM(L45:DC45)</f>
        <v>199200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>
        <v>50000</v>
      </c>
      <c r="AH45" s="17">
        <v>75000</v>
      </c>
      <c r="AI45" s="17">
        <v>74200</v>
      </c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</row>
    <row r="46" spans="1:107" ht="14.25" hidden="1" customHeight="1" x14ac:dyDescent="0.3">
      <c r="A46" s="27">
        <v>692</v>
      </c>
      <c r="B46" s="6" t="s">
        <v>79</v>
      </c>
      <c r="C46" s="6" t="s">
        <v>80</v>
      </c>
      <c r="D46" s="6">
        <v>101911</v>
      </c>
      <c r="E46" s="27"/>
      <c r="F46" s="6"/>
      <c r="G46" s="6"/>
      <c r="H46" s="7" t="s">
        <v>26</v>
      </c>
      <c r="I46" s="21">
        <v>1894672</v>
      </c>
      <c r="J46" s="18">
        <f t="shared" si="102"/>
        <v>1894672</v>
      </c>
      <c r="K46" s="19">
        <f t="shared" si="120"/>
        <v>0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22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</row>
    <row r="47" spans="1:107" ht="14.25" hidden="1" customHeight="1" x14ac:dyDescent="0.3">
      <c r="A47" s="27">
        <v>692</v>
      </c>
      <c r="B47" s="6" t="s">
        <v>79</v>
      </c>
      <c r="C47" s="6" t="s">
        <v>81</v>
      </c>
      <c r="D47" s="6">
        <v>201921</v>
      </c>
      <c r="E47" s="27">
        <v>6</v>
      </c>
      <c r="F47" s="6"/>
      <c r="G47" s="6" t="s">
        <v>25</v>
      </c>
      <c r="H47" s="7" t="s">
        <v>26</v>
      </c>
      <c r="I47" s="21">
        <v>3849740</v>
      </c>
      <c r="J47" s="18">
        <f t="shared" ref="J47:J49" si="124">IF(H47="T",0,I47-K47)</f>
        <v>25000</v>
      </c>
      <c r="K47" s="19">
        <f t="shared" si="120"/>
        <v>3824740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>
        <v>50000</v>
      </c>
      <c r="AJ47" s="17">
        <v>100000</v>
      </c>
      <c r="AK47" s="17">
        <v>100000</v>
      </c>
      <c r="AL47" s="17"/>
      <c r="AM47" s="17"/>
      <c r="AN47" s="17">
        <v>100000</v>
      </c>
      <c r="AO47" s="17">
        <v>100000</v>
      </c>
      <c r="AP47" s="17">
        <v>100000</v>
      </c>
      <c r="AQ47" s="17">
        <v>100000</v>
      </c>
      <c r="AR47" s="17">
        <v>100000</v>
      </c>
      <c r="AS47" s="17"/>
      <c r="AT47" s="17"/>
      <c r="AU47" s="22">
        <v>125000</v>
      </c>
      <c r="AV47" s="17">
        <v>150000</v>
      </c>
      <c r="AW47" s="17">
        <v>150000</v>
      </c>
      <c r="AX47" s="17">
        <v>150000</v>
      </c>
      <c r="AY47" s="17">
        <v>150000</v>
      </c>
      <c r="AZ47" s="17"/>
      <c r="BA47" s="17"/>
      <c r="BB47" s="17">
        <v>200000</v>
      </c>
      <c r="BC47" s="17">
        <v>150000</v>
      </c>
      <c r="BD47" s="17">
        <v>150000</v>
      </c>
      <c r="BE47" s="17">
        <v>150000</v>
      </c>
      <c r="BF47" s="17"/>
      <c r="BG47" s="17"/>
      <c r="BH47" s="17"/>
      <c r="BI47" s="17">
        <v>200000</v>
      </c>
      <c r="BJ47" s="17">
        <v>150000</v>
      </c>
      <c r="BK47" s="17">
        <v>150000</v>
      </c>
      <c r="BL47" s="17">
        <v>150000</v>
      </c>
      <c r="BM47" s="17">
        <v>150000</v>
      </c>
      <c r="BN47" s="17"/>
      <c r="BO47" s="17"/>
      <c r="BP47" s="17">
        <v>200000</v>
      </c>
      <c r="BQ47" s="17">
        <v>150000</v>
      </c>
      <c r="BR47" s="17">
        <v>150000</v>
      </c>
      <c r="BS47" s="17">
        <v>150000</v>
      </c>
      <c r="BT47" s="17">
        <v>149740</v>
      </c>
      <c r="BU47" s="17"/>
      <c r="BV47" s="17"/>
      <c r="BW47" s="17">
        <v>100000</v>
      </c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</row>
    <row r="48" spans="1:107" ht="14.25" hidden="1" customHeight="1" x14ac:dyDescent="0.3">
      <c r="A48" s="27">
        <v>682</v>
      </c>
      <c r="B48" s="6" t="s">
        <v>82</v>
      </c>
      <c r="C48" s="6" t="s">
        <v>37</v>
      </c>
      <c r="D48" s="6">
        <v>260581</v>
      </c>
      <c r="E48" s="27"/>
      <c r="F48" s="6"/>
      <c r="G48" s="6"/>
      <c r="H48" s="7" t="s">
        <v>26</v>
      </c>
      <c r="I48" s="21">
        <v>548300</v>
      </c>
      <c r="J48" s="18">
        <f t="shared" si="124"/>
        <v>548300</v>
      </c>
      <c r="K48" s="19">
        <f t="shared" si="120"/>
        <v>0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22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</row>
    <row r="49" spans="1:107" ht="14.25" hidden="1" customHeight="1" x14ac:dyDescent="0.3">
      <c r="A49" s="27">
        <v>682</v>
      </c>
      <c r="B49" s="6" t="s">
        <v>82</v>
      </c>
      <c r="C49" s="6" t="s">
        <v>83</v>
      </c>
      <c r="D49" s="6">
        <v>200591</v>
      </c>
      <c r="E49" s="27">
        <v>7</v>
      </c>
      <c r="F49" s="6"/>
      <c r="G49" s="6" t="s">
        <v>25</v>
      </c>
      <c r="H49" s="7" t="s">
        <v>26</v>
      </c>
      <c r="I49" s="21">
        <v>1019060</v>
      </c>
      <c r="J49" s="18">
        <f t="shared" si="124"/>
        <v>0</v>
      </c>
      <c r="K49" s="19">
        <f t="shared" si="120"/>
        <v>1019060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22"/>
      <c r="AJ49" s="17"/>
      <c r="AK49" s="17"/>
      <c r="AL49" s="17"/>
      <c r="AM49" s="17"/>
      <c r="AN49" s="17">
        <v>100000</v>
      </c>
      <c r="AO49" s="17">
        <v>100000</v>
      </c>
      <c r="AP49" s="17">
        <v>150000</v>
      </c>
      <c r="AQ49" s="17">
        <v>150000</v>
      </c>
      <c r="AR49" s="17">
        <v>150000</v>
      </c>
      <c r="AS49" s="17"/>
      <c r="AT49" s="17"/>
      <c r="AU49" s="22">
        <v>100000</v>
      </c>
      <c r="AV49" s="17">
        <v>100000</v>
      </c>
      <c r="AW49" s="17">
        <v>100000</v>
      </c>
      <c r="AX49" s="17">
        <v>69060</v>
      </c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</row>
    <row r="50" spans="1:107" ht="14.25" hidden="1" customHeight="1" x14ac:dyDescent="0.3">
      <c r="A50" s="30">
        <v>185</v>
      </c>
      <c r="B50" s="10" t="s">
        <v>84</v>
      </c>
      <c r="C50" s="10" t="s">
        <v>41</v>
      </c>
      <c r="D50" s="10">
        <v>201861</v>
      </c>
      <c r="E50" s="27"/>
      <c r="F50" s="6"/>
      <c r="G50" s="6"/>
      <c r="H50" s="7" t="s">
        <v>26</v>
      </c>
      <c r="I50" s="16">
        <v>663136</v>
      </c>
      <c r="J50" s="18">
        <f>IF(H50="T",0,I50-K50)</f>
        <v>0</v>
      </c>
      <c r="K50" s="19">
        <f t="shared" si="120"/>
        <v>663136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22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>
        <v>50000</v>
      </c>
      <c r="AX50" s="17">
        <v>50000</v>
      </c>
      <c r="AY50" s="17"/>
      <c r="AZ50" s="17"/>
      <c r="BA50" s="17"/>
      <c r="BB50" s="17">
        <v>75000</v>
      </c>
      <c r="BC50" s="17">
        <v>75000</v>
      </c>
      <c r="BD50" s="17">
        <v>75000</v>
      </c>
      <c r="BE50" s="17">
        <v>75000</v>
      </c>
      <c r="BF50" s="17"/>
      <c r="BG50" s="17"/>
      <c r="BH50" s="17"/>
      <c r="BI50" s="17">
        <v>75000</v>
      </c>
      <c r="BJ50" s="17">
        <v>75000</v>
      </c>
      <c r="BK50" s="17">
        <v>75000</v>
      </c>
      <c r="BL50" s="17">
        <v>38136</v>
      </c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</row>
    <row r="51" spans="1:107" ht="14.25" hidden="1" customHeight="1" x14ac:dyDescent="0.3">
      <c r="A51" s="27">
        <v>12</v>
      </c>
      <c r="B51" s="6" t="s">
        <v>85</v>
      </c>
      <c r="C51" s="6" t="s">
        <v>37</v>
      </c>
      <c r="D51" s="6">
        <v>260581</v>
      </c>
      <c r="E51" s="27"/>
      <c r="F51" s="6"/>
      <c r="G51" s="6"/>
      <c r="H51" s="7" t="s">
        <v>26</v>
      </c>
      <c r="I51" s="21">
        <v>40900</v>
      </c>
      <c r="J51" s="18">
        <f t="shared" ref="J51" si="125">IF(H51="T",0,I51-K51)</f>
        <v>40900</v>
      </c>
      <c r="K51" s="19">
        <f t="shared" si="120"/>
        <v>0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22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</row>
    <row r="52" spans="1:107" ht="14.25" hidden="1" customHeight="1" x14ac:dyDescent="0.3">
      <c r="A52" s="27">
        <v>151</v>
      </c>
      <c r="B52" s="6" t="s">
        <v>86</v>
      </c>
      <c r="C52" s="6" t="s">
        <v>87</v>
      </c>
      <c r="D52" s="6">
        <v>100451</v>
      </c>
      <c r="E52" s="27">
        <v>5</v>
      </c>
      <c r="F52" s="27"/>
      <c r="G52" s="6" t="s">
        <v>29</v>
      </c>
      <c r="H52" s="7" t="s">
        <v>44</v>
      </c>
      <c r="I52" s="21">
        <v>115287</v>
      </c>
      <c r="J52" s="18">
        <f>IF(H52="T",0,I52-K52)</f>
        <v>0</v>
      </c>
      <c r="K52" s="19">
        <f t="shared" si="120"/>
        <v>115287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>
        <v>25000</v>
      </c>
      <c r="AC52" s="17">
        <v>25000</v>
      </c>
      <c r="AD52" s="17">
        <v>25000</v>
      </c>
      <c r="AE52" s="17"/>
      <c r="AF52" s="17"/>
      <c r="AG52" s="17">
        <v>40287</v>
      </c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</row>
    <row r="53" spans="1:107" ht="14.25" hidden="1" customHeight="1" x14ac:dyDescent="0.3">
      <c r="A53" s="27">
        <v>612</v>
      </c>
      <c r="B53" s="6" t="s">
        <v>88</v>
      </c>
      <c r="C53" s="6" t="s">
        <v>89</v>
      </c>
      <c r="D53" s="6">
        <v>101311</v>
      </c>
      <c r="E53" s="27"/>
      <c r="F53" s="6"/>
      <c r="G53" s="6"/>
      <c r="H53" s="7" t="s">
        <v>26</v>
      </c>
      <c r="I53" s="21">
        <v>67282</v>
      </c>
      <c r="J53" s="18">
        <f t="shared" si="102"/>
        <v>67282</v>
      </c>
      <c r="K53" s="19">
        <f t="shared" si="120"/>
        <v>0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22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</row>
    <row r="54" spans="1:107" ht="14.25" hidden="1" customHeight="1" x14ac:dyDescent="0.3">
      <c r="A54" s="27">
        <v>612</v>
      </c>
      <c r="B54" s="6" t="s">
        <v>88</v>
      </c>
      <c r="C54" s="6" t="s">
        <v>90</v>
      </c>
      <c r="D54" s="6">
        <v>201321</v>
      </c>
      <c r="E54" s="27"/>
      <c r="F54" s="6"/>
      <c r="G54" s="6"/>
      <c r="H54" s="7" t="s">
        <v>26</v>
      </c>
      <c r="I54" s="21">
        <v>303060</v>
      </c>
      <c r="J54" s="18">
        <f t="shared" ref="J54" si="126">IF(H54="T",0,I54-K54)</f>
        <v>303060</v>
      </c>
      <c r="K54" s="19">
        <f t="shared" si="120"/>
        <v>0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22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22"/>
      <c r="CV54" s="17"/>
      <c r="CW54" s="17"/>
      <c r="CX54" s="17"/>
      <c r="CY54" s="17"/>
      <c r="CZ54" s="17"/>
      <c r="DA54" s="17"/>
      <c r="DB54" s="17"/>
      <c r="DC54" s="17"/>
    </row>
    <row r="55" spans="1:107" ht="14.25" hidden="1" customHeight="1" x14ac:dyDescent="0.3">
      <c r="A55" s="27">
        <v>569</v>
      </c>
      <c r="B55" s="6" t="s">
        <v>91</v>
      </c>
      <c r="C55" s="6" t="s">
        <v>92</v>
      </c>
      <c r="D55" s="6">
        <v>201471</v>
      </c>
      <c r="E55" s="27"/>
      <c r="F55" s="6"/>
      <c r="G55" s="6"/>
      <c r="H55" s="7" t="s">
        <v>26</v>
      </c>
      <c r="I55" s="16">
        <v>98555</v>
      </c>
      <c r="J55" s="18">
        <f t="shared" si="102"/>
        <v>98555</v>
      </c>
      <c r="K55" s="19">
        <f t="shared" si="120"/>
        <v>0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22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</row>
    <row r="56" spans="1:107" ht="14.25" hidden="1" customHeight="1" x14ac:dyDescent="0.3">
      <c r="A56" s="27">
        <v>1308</v>
      </c>
      <c r="B56" s="6" t="s">
        <v>93</v>
      </c>
      <c r="C56" s="6" t="s">
        <v>94</v>
      </c>
      <c r="D56" s="6">
        <v>221301</v>
      </c>
      <c r="E56" s="27"/>
      <c r="F56" s="27"/>
      <c r="G56" s="6"/>
      <c r="H56" s="7" t="s">
        <v>26</v>
      </c>
      <c r="I56" s="21">
        <v>10600</v>
      </c>
      <c r="J56" s="18">
        <f t="shared" si="102"/>
        <v>0</v>
      </c>
      <c r="K56" s="19">
        <f t="shared" si="120"/>
        <v>10600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22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>
        <v>10600</v>
      </c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</row>
    <row r="57" spans="1:107" ht="14.25" hidden="1" customHeight="1" x14ac:dyDescent="0.3">
      <c r="A57" s="27" t="s">
        <v>95</v>
      </c>
      <c r="B57" s="6" t="s">
        <v>96</v>
      </c>
      <c r="C57" s="6" t="s">
        <v>97</v>
      </c>
      <c r="D57" s="6">
        <v>100641</v>
      </c>
      <c r="E57" s="27">
        <v>1</v>
      </c>
      <c r="F57" s="27"/>
      <c r="G57" s="6" t="s">
        <v>29</v>
      </c>
      <c r="H57" s="7" t="s">
        <v>44</v>
      </c>
      <c r="I57" s="16">
        <v>99000</v>
      </c>
      <c r="J57" s="18">
        <f>IF(H57="T",0,I57-K57)</f>
        <v>0</v>
      </c>
      <c r="K57" s="19">
        <f t="shared" si="120"/>
        <v>124000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>
        <v>25000</v>
      </c>
      <c r="AC57" s="17">
        <v>25000</v>
      </c>
      <c r="AD57" s="17">
        <v>25000</v>
      </c>
      <c r="AE57" s="17"/>
      <c r="AF57" s="17"/>
      <c r="AG57" s="17">
        <v>24000</v>
      </c>
      <c r="AH57" s="17">
        <v>25000</v>
      </c>
      <c r="AI57" s="17"/>
      <c r="AJ57" s="17"/>
      <c r="AK57" s="17"/>
      <c r="AL57" s="17"/>
      <c r="AM57" s="17"/>
      <c r="AN57" s="22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</row>
    <row r="58" spans="1:107" ht="14.25" hidden="1" customHeight="1" x14ac:dyDescent="0.3">
      <c r="A58" s="27" t="s">
        <v>98</v>
      </c>
      <c r="B58" s="6" t="s">
        <v>96</v>
      </c>
      <c r="C58" s="6" t="s">
        <v>99</v>
      </c>
      <c r="D58" s="6">
        <v>202331</v>
      </c>
      <c r="E58" s="27">
        <v>9</v>
      </c>
      <c r="F58" s="6"/>
      <c r="G58" s="6" t="s">
        <v>25</v>
      </c>
      <c r="H58" s="7" t="s">
        <v>26</v>
      </c>
      <c r="I58" s="16">
        <v>234000</v>
      </c>
      <c r="J58" s="18">
        <f t="shared" si="102"/>
        <v>22000</v>
      </c>
      <c r="K58" s="19">
        <f t="shared" si="120"/>
        <v>212000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22"/>
      <c r="AJ58" s="17"/>
      <c r="AK58" s="17"/>
      <c r="AL58" s="17"/>
      <c r="AM58" s="17"/>
      <c r="AN58" s="17">
        <v>50000</v>
      </c>
      <c r="AO58" s="17">
        <v>75000</v>
      </c>
      <c r="AP58" s="17">
        <v>75000</v>
      </c>
      <c r="AQ58" s="17">
        <v>12000</v>
      </c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</row>
    <row r="59" spans="1:107" ht="14.25" hidden="1" customHeight="1" x14ac:dyDescent="0.3">
      <c r="A59" s="27" t="s">
        <v>100</v>
      </c>
      <c r="B59" s="6" t="s">
        <v>101</v>
      </c>
      <c r="C59" s="6" t="s">
        <v>69</v>
      </c>
      <c r="D59" s="6">
        <v>200591</v>
      </c>
      <c r="E59" s="27">
        <v>7</v>
      </c>
      <c r="F59" s="6"/>
      <c r="G59" s="6" t="s">
        <v>25</v>
      </c>
      <c r="H59" s="7" t="s">
        <v>26</v>
      </c>
      <c r="I59" s="16">
        <v>827400</v>
      </c>
      <c r="J59" s="18">
        <f t="shared" ref="J59" si="127">IF(H59="T",0,I59-K59)</f>
        <v>0</v>
      </c>
      <c r="K59" s="19">
        <f t="shared" si="120"/>
        <v>827400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22"/>
      <c r="AJ59" s="17"/>
      <c r="AK59" s="17"/>
      <c r="AL59" s="17"/>
      <c r="AM59" s="17"/>
      <c r="AN59" s="17">
        <v>125000</v>
      </c>
      <c r="AO59" s="17">
        <v>125000</v>
      </c>
      <c r="AP59" s="17"/>
      <c r="AQ59" s="17"/>
      <c r="AR59" s="17"/>
      <c r="AS59" s="17"/>
      <c r="AT59" s="17"/>
      <c r="AU59" s="22">
        <v>100000</v>
      </c>
      <c r="AV59" s="17">
        <v>125000</v>
      </c>
      <c r="AW59" s="17">
        <v>125000</v>
      </c>
      <c r="AX59" s="17">
        <v>125000</v>
      </c>
      <c r="AY59" s="17">
        <v>102400</v>
      </c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</row>
    <row r="60" spans="1:107" ht="14.25" hidden="1" customHeight="1" x14ac:dyDescent="0.3">
      <c r="A60" s="27" t="s">
        <v>100</v>
      </c>
      <c r="B60" s="6" t="s">
        <v>101</v>
      </c>
      <c r="C60" s="6" t="s">
        <v>102</v>
      </c>
      <c r="D60" s="6">
        <v>201431</v>
      </c>
      <c r="E60" s="27"/>
      <c r="F60" s="6"/>
      <c r="G60" s="6"/>
      <c r="H60" s="7" t="s">
        <v>26</v>
      </c>
      <c r="I60" s="21">
        <v>220800</v>
      </c>
      <c r="J60" s="18">
        <f t="shared" si="102"/>
        <v>220800</v>
      </c>
      <c r="K60" s="19">
        <f t="shared" si="120"/>
        <v>0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22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</row>
    <row r="61" spans="1:107" ht="14.25" hidden="1" customHeight="1" x14ac:dyDescent="0.3">
      <c r="A61" s="27" t="s">
        <v>103</v>
      </c>
      <c r="B61" s="6" t="s">
        <v>104</v>
      </c>
      <c r="C61" s="6" t="s">
        <v>39</v>
      </c>
      <c r="D61" s="6">
        <v>202271</v>
      </c>
      <c r="E61" s="27"/>
      <c r="F61" s="6"/>
      <c r="G61" s="6"/>
      <c r="H61" s="7" t="s">
        <v>26</v>
      </c>
      <c r="I61" s="21">
        <v>29066</v>
      </c>
      <c r="J61" s="18">
        <f t="shared" si="102"/>
        <v>29066</v>
      </c>
      <c r="K61" s="19">
        <f t="shared" si="120"/>
        <v>0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22"/>
      <c r="AJ61" s="17"/>
      <c r="AK61" s="17"/>
      <c r="AL61" s="17"/>
      <c r="AM61" s="17"/>
      <c r="AN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</row>
    <row r="62" spans="1:107" ht="14.25" hidden="1" customHeight="1" x14ac:dyDescent="0.3">
      <c r="A62" s="27" t="s">
        <v>105</v>
      </c>
      <c r="B62" s="6" t="s">
        <v>106</v>
      </c>
      <c r="C62" s="6" t="s">
        <v>41</v>
      </c>
      <c r="D62" s="6">
        <v>201861</v>
      </c>
      <c r="E62" s="27">
        <v>9</v>
      </c>
      <c r="F62" s="6"/>
      <c r="G62" s="6" t="s">
        <v>25</v>
      </c>
      <c r="H62" s="7" t="s">
        <v>26</v>
      </c>
      <c r="I62" s="21">
        <v>457800</v>
      </c>
      <c r="J62" s="18">
        <f t="shared" ref="J62:J121" si="128">IF(H62="T",0,I62-K62)</f>
        <v>0</v>
      </c>
      <c r="K62" s="19">
        <f t="shared" si="120"/>
        <v>457800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22"/>
      <c r="AJ62" s="17"/>
      <c r="AK62" s="17"/>
      <c r="AL62" s="17"/>
      <c r="AM62" s="17"/>
      <c r="AN62" s="17"/>
      <c r="AO62" s="17"/>
      <c r="AP62" s="17">
        <v>50000</v>
      </c>
      <c r="AQ62" s="17">
        <v>50000</v>
      </c>
      <c r="AR62" s="17">
        <v>25000</v>
      </c>
      <c r="AS62" s="17"/>
      <c r="AT62" s="17"/>
      <c r="AU62" s="22"/>
      <c r="AV62" s="17"/>
      <c r="AW62" s="17"/>
      <c r="AX62" s="17"/>
      <c r="AY62" s="17"/>
      <c r="AZ62" s="17"/>
      <c r="BA62" s="17"/>
      <c r="BB62" s="17">
        <v>50000</v>
      </c>
      <c r="BC62" s="17">
        <v>50000</v>
      </c>
      <c r="BD62" s="17">
        <v>50000</v>
      </c>
      <c r="BE62" s="17">
        <v>50000</v>
      </c>
      <c r="BF62" s="17"/>
      <c r="BG62" s="17"/>
      <c r="BH62" s="17"/>
      <c r="BI62" s="17">
        <v>50000</v>
      </c>
      <c r="BJ62" s="17">
        <v>50000</v>
      </c>
      <c r="BK62" s="17">
        <v>32800</v>
      </c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</row>
    <row r="63" spans="1:107" ht="14.25" hidden="1" customHeight="1" x14ac:dyDescent="0.3">
      <c r="A63" s="27" t="s">
        <v>107</v>
      </c>
      <c r="B63" s="6" t="s">
        <v>108</v>
      </c>
      <c r="C63" s="6" t="s">
        <v>109</v>
      </c>
      <c r="D63" s="6">
        <v>100721</v>
      </c>
      <c r="E63" s="27"/>
      <c r="F63" s="6"/>
      <c r="G63" s="6"/>
      <c r="H63" s="7" t="s">
        <v>26</v>
      </c>
      <c r="I63" s="21">
        <v>61250</v>
      </c>
      <c r="J63" s="18">
        <f t="shared" si="128"/>
        <v>0</v>
      </c>
      <c r="K63" s="19">
        <f t="shared" si="120"/>
        <v>61250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22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>
        <v>12000</v>
      </c>
      <c r="AX63" s="17">
        <v>12000</v>
      </c>
      <c r="AY63" s="17">
        <v>12000</v>
      </c>
      <c r="AZ63" s="17"/>
      <c r="BA63" s="17"/>
      <c r="BB63" s="17">
        <v>12000</v>
      </c>
      <c r="BC63" s="17">
        <v>13250</v>
      </c>
      <c r="BD63" s="17"/>
      <c r="BE63" s="17"/>
      <c r="BF63" s="17"/>
      <c r="BG63" s="17"/>
      <c r="BH63" s="17"/>
      <c r="BI63" s="17"/>
      <c r="BJ63" s="17"/>
      <c r="BK63" s="17"/>
      <c r="BL63" s="22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</row>
    <row r="64" spans="1:107" ht="14.25" hidden="1" customHeight="1" x14ac:dyDescent="0.3">
      <c r="A64" s="27" t="s">
        <v>107</v>
      </c>
      <c r="B64" s="6" t="s">
        <v>108</v>
      </c>
      <c r="C64" s="6" t="s">
        <v>110</v>
      </c>
      <c r="D64" s="6">
        <v>200731</v>
      </c>
      <c r="E64" s="27">
        <v>10</v>
      </c>
      <c r="F64" s="6"/>
      <c r="G64" s="6" t="s">
        <v>25</v>
      </c>
      <c r="H64" s="7" t="s">
        <v>26</v>
      </c>
      <c r="I64" s="21">
        <v>254500</v>
      </c>
      <c r="J64" s="18">
        <f t="shared" ref="J64" si="129">IF(H64="T",0,I64-K64)</f>
        <v>104500</v>
      </c>
      <c r="K64" s="19">
        <f t="shared" si="120"/>
        <v>150000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22"/>
      <c r="AJ64" s="17"/>
      <c r="AK64" s="17"/>
      <c r="AL64" s="17"/>
      <c r="AM64" s="17"/>
      <c r="AN64" s="17">
        <v>75000</v>
      </c>
      <c r="AO64" s="17">
        <v>75000</v>
      </c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22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</row>
    <row r="65" spans="1:107" ht="14.25" hidden="1" customHeight="1" x14ac:dyDescent="0.3">
      <c r="A65" s="27" t="s">
        <v>111</v>
      </c>
      <c r="B65" s="6" t="s">
        <v>112</v>
      </c>
      <c r="C65" s="6" t="s">
        <v>113</v>
      </c>
      <c r="D65" s="6">
        <v>202041</v>
      </c>
      <c r="E65" s="27"/>
      <c r="F65" s="6"/>
      <c r="G65" s="6"/>
      <c r="H65" s="7" t="s">
        <v>26</v>
      </c>
      <c r="I65" s="21">
        <v>84253</v>
      </c>
      <c r="J65" s="18">
        <f t="shared" si="128"/>
        <v>0</v>
      </c>
      <c r="K65" s="19">
        <f t="shared" si="120"/>
        <v>84253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22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>
        <v>50000</v>
      </c>
      <c r="AX65" s="17">
        <v>34253</v>
      </c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</row>
    <row r="66" spans="1:107" ht="14.25" hidden="1" customHeight="1" x14ac:dyDescent="0.3">
      <c r="A66" s="27" t="s">
        <v>114</v>
      </c>
      <c r="B66" s="6" t="s">
        <v>115</v>
      </c>
      <c r="C66" s="6" t="s">
        <v>116</v>
      </c>
      <c r="D66" s="6">
        <v>202101</v>
      </c>
      <c r="E66" s="27">
        <v>9</v>
      </c>
      <c r="F66" s="6"/>
      <c r="G66" s="6" t="s">
        <v>25</v>
      </c>
      <c r="H66" s="7" t="s">
        <v>44</v>
      </c>
      <c r="I66" s="21">
        <v>125527</v>
      </c>
      <c r="J66" s="18">
        <f t="shared" si="128"/>
        <v>0</v>
      </c>
      <c r="K66" s="19">
        <f t="shared" si="120"/>
        <v>150527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22"/>
      <c r="AJ66" s="17"/>
      <c r="AK66" s="17"/>
      <c r="AL66" s="17"/>
      <c r="AM66" s="17"/>
      <c r="AN66" s="17">
        <v>125527</v>
      </c>
      <c r="AO66" s="17">
        <v>25000</v>
      </c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</row>
    <row r="67" spans="1:107" ht="14.25" hidden="1" customHeight="1" x14ac:dyDescent="0.3">
      <c r="A67" s="27" t="s">
        <v>117</v>
      </c>
      <c r="B67" s="6" t="s">
        <v>118</v>
      </c>
      <c r="C67" s="6" t="s">
        <v>99</v>
      </c>
      <c r="D67" s="6">
        <v>202331</v>
      </c>
      <c r="E67" s="27">
        <v>9</v>
      </c>
      <c r="F67" s="6"/>
      <c r="G67" s="6" t="s">
        <v>25</v>
      </c>
      <c r="H67" s="7" t="s">
        <v>44</v>
      </c>
      <c r="I67" s="21">
        <v>140000</v>
      </c>
      <c r="J67" s="18">
        <f t="shared" si="128"/>
        <v>0</v>
      </c>
      <c r="K67" s="19">
        <f t="shared" si="120"/>
        <v>140000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v>50000</v>
      </c>
      <c r="AK67" s="17">
        <v>90000</v>
      </c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</row>
    <row r="68" spans="1:107" ht="14.25" hidden="1" customHeight="1" x14ac:dyDescent="0.3">
      <c r="A68" s="27" t="s">
        <v>119</v>
      </c>
      <c r="B68" s="6" t="s">
        <v>120</v>
      </c>
      <c r="C68" s="6" t="s">
        <v>121</v>
      </c>
      <c r="D68" s="6">
        <v>201441</v>
      </c>
      <c r="E68" s="27">
        <v>7</v>
      </c>
      <c r="F68" s="6"/>
      <c r="G68" s="6" t="s">
        <v>25</v>
      </c>
      <c r="H68" s="7" t="s">
        <v>44</v>
      </c>
      <c r="I68" s="21">
        <v>34000</v>
      </c>
      <c r="J68" s="18">
        <f t="shared" si="128"/>
        <v>0</v>
      </c>
      <c r="K68" s="19">
        <f t="shared" si="120"/>
        <v>34000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22"/>
      <c r="AJ68" s="17"/>
      <c r="AK68" s="17"/>
      <c r="AL68" s="17"/>
      <c r="AM68" s="17"/>
      <c r="AN68" s="17"/>
      <c r="AO68" s="17">
        <v>34000</v>
      </c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</row>
    <row r="69" spans="1:107" ht="14.25" hidden="1" customHeight="1" x14ac:dyDescent="0.3">
      <c r="A69" s="27" t="s">
        <v>122</v>
      </c>
      <c r="B69" s="6" t="s">
        <v>123</v>
      </c>
      <c r="C69" s="6" t="s">
        <v>124</v>
      </c>
      <c r="D69" s="6">
        <v>200681</v>
      </c>
      <c r="E69" s="27"/>
      <c r="F69" s="27"/>
      <c r="G69" s="6"/>
      <c r="H69" s="7" t="s">
        <v>26</v>
      </c>
      <c r="I69" s="21">
        <v>70500</v>
      </c>
      <c r="J69" s="18">
        <f>IF(H69="T",0,I69-K69)</f>
        <v>70500</v>
      </c>
      <c r="K69" s="19">
        <f t="shared" si="120"/>
        <v>0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22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</row>
    <row r="70" spans="1:107" ht="14.25" hidden="1" customHeight="1" x14ac:dyDescent="0.3">
      <c r="A70" s="27" t="s">
        <v>125</v>
      </c>
      <c r="B70" s="6" t="s">
        <v>126</v>
      </c>
      <c r="C70" s="6" t="s">
        <v>41</v>
      </c>
      <c r="D70" s="6">
        <v>201861</v>
      </c>
      <c r="E70" s="27"/>
      <c r="F70" s="6"/>
      <c r="G70" s="6"/>
      <c r="H70" s="7" t="s">
        <v>26</v>
      </c>
      <c r="I70" s="21">
        <v>22050</v>
      </c>
      <c r="J70" s="18">
        <f t="shared" si="128"/>
        <v>22050</v>
      </c>
      <c r="K70" s="19">
        <f t="shared" si="120"/>
        <v>0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22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</row>
    <row r="71" spans="1:107" ht="14.25" hidden="1" customHeight="1" x14ac:dyDescent="0.3">
      <c r="A71" s="27" t="s">
        <v>127</v>
      </c>
      <c r="B71" s="6" t="s">
        <v>128</v>
      </c>
      <c r="C71" s="6" t="s">
        <v>43</v>
      </c>
      <c r="D71" s="6">
        <v>100431</v>
      </c>
      <c r="E71" s="27">
        <v>5</v>
      </c>
      <c r="F71" s="6"/>
      <c r="G71" s="6" t="s">
        <v>29</v>
      </c>
      <c r="H71" s="7" t="s">
        <v>26</v>
      </c>
      <c r="I71" s="21">
        <v>147000</v>
      </c>
      <c r="J71" s="18">
        <f t="shared" si="128"/>
        <v>0</v>
      </c>
      <c r="K71" s="19">
        <f t="shared" si="120"/>
        <v>147000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22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22">
        <v>12000</v>
      </c>
      <c r="AV71" s="17">
        <v>12000</v>
      </c>
      <c r="AW71" s="17">
        <v>12000</v>
      </c>
      <c r="AX71" s="17">
        <v>12000</v>
      </c>
      <c r="AY71" s="17">
        <v>12000</v>
      </c>
      <c r="AZ71" s="17"/>
      <c r="BA71" s="17"/>
      <c r="BB71" s="17">
        <v>24000</v>
      </c>
      <c r="BC71" s="17">
        <v>24000</v>
      </c>
      <c r="BD71" s="17">
        <v>24000</v>
      </c>
      <c r="BE71" s="17">
        <v>15000</v>
      </c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</row>
    <row r="72" spans="1:107" ht="14.25" hidden="1" customHeight="1" x14ac:dyDescent="0.3">
      <c r="A72" s="27" t="s">
        <v>127</v>
      </c>
      <c r="B72" s="6" t="s">
        <v>128</v>
      </c>
      <c r="C72" s="6" t="s">
        <v>129</v>
      </c>
      <c r="D72" s="6">
        <v>101261</v>
      </c>
      <c r="E72" s="27"/>
      <c r="F72" s="6"/>
      <c r="G72" s="6"/>
      <c r="H72" s="7" t="s">
        <v>26</v>
      </c>
      <c r="I72" s="21">
        <v>246135</v>
      </c>
      <c r="J72" s="18">
        <f t="shared" si="128"/>
        <v>246135</v>
      </c>
      <c r="K72" s="19">
        <f t="shared" si="120"/>
        <v>0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22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</row>
    <row r="73" spans="1:107" ht="14.25" hidden="1" customHeight="1" x14ac:dyDescent="0.3">
      <c r="A73" s="27" t="s">
        <v>130</v>
      </c>
      <c r="B73" s="6" t="s">
        <v>131</v>
      </c>
      <c r="C73" s="6" t="s">
        <v>41</v>
      </c>
      <c r="D73" s="6">
        <v>201861</v>
      </c>
      <c r="E73" s="27"/>
      <c r="F73" s="6"/>
      <c r="G73" s="6"/>
      <c r="H73" s="7" t="s">
        <v>26</v>
      </c>
      <c r="I73" s="21">
        <v>200788</v>
      </c>
      <c r="J73" s="18">
        <f t="shared" si="128"/>
        <v>0</v>
      </c>
      <c r="K73" s="19">
        <f t="shared" si="120"/>
        <v>200788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22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>
        <v>24000</v>
      </c>
      <c r="AX73" s="17">
        <v>24000</v>
      </c>
      <c r="AY73" s="17">
        <v>74000</v>
      </c>
      <c r="AZ73" s="17"/>
      <c r="BA73" s="17"/>
      <c r="BB73" s="17">
        <v>78788</v>
      </c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</row>
    <row r="74" spans="1:107" ht="14.25" hidden="1" customHeight="1" x14ac:dyDescent="0.3">
      <c r="A74" s="27" t="s">
        <v>132</v>
      </c>
      <c r="B74" s="6" t="s">
        <v>133</v>
      </c>
      <c r="C74" s="6" t="s">
        <v>80</v>
      </c>
      <c r="D74" s="6">
        <v>101911</v>
      </c>
      <c r="E74" s="27"/>
      <c r="F74" s="6"/>
      <c r="G74" s="6"/>
      <c r="H74" s="7" t="s">
        <v>26</v>
      </c>
      <c r="I74" s="21">
        <v>879060</v>
      </c>
      <c r="J74" s="18">
        <f t="shared" si="128"/>
        <v>75000</v>
      </c>
      <c r="K74" s="19">
        <f t="shared" ref="K74:K121" si="130">SUM(L74:DC74)</f>
        <v>804060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22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>
        <v>75000</v>
      </c>
      <c r="AW74" s="17">
        <v>75000</v>
      </c>
      <c r="AX74" s="17">
        <v>75000</v>
      </c>
      <c r="AY74" s="17">
        <v>75000</v>
      </c>
      <c r="AZ74" s="17"/>
      <c r="BA74" s="17"/>
      <c r="BB74" s="17">
        <v>150000</v>
      </c>
      <c r="BC74" s="17">
        <v>75000</v>
      </c>
      <c r="BD74" s="17">
        <v>75000</v>
      </c>
      <c r="BE74" s="17">
        <v>75000</v>
      </c>
      <c r="BF74" s="17"/>
      <c r="BG74" s="17"/>
      <c r="BH74" s="17"/>
      <c r="BI74" s="17">
        <v>75000</v>
      </c>
      <c r="BJ74" s="17">
        <v>54060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</row>
    <row r="75" spans="1:107" ht="14.25" hidden="1" customHeight="1" x14ac:dyDescent="0.3">
      <c r="A75" s="27" t="s">
        <v>132</v>
      </c>
      <c r="B75" s="6" t="s">
        <v>133</v>
      </c>
      <c r="C75" s="6" t="s">
        <v>81</v>
      </c>
      <c r="D75" s="6">
        <v>201921</v>
      </c>
      <c r="E75" s="27">
        <v>6</v>
      </c>
      <c r="F75" s="27"/>
      <c r="G75" s="6" t="s">
        <v>25</v>
      </c>
      <c r="H75" s="7" t="s">
        <v>26</v>
      </c>
      <c r="I75" s="21">
        <v>507720</v>
      </c>
      <c r="J75" s="18">
        <f t="shared" si="128"/>
        <v>0</v>
      </c>
      <c r="K75" s="19">
        <f t="shared" si="130"/>
        <v>507720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22"/>
      <c r="AJ75" s="17">
        <v>50000</v>
      </c>
      <c r="AK75" s="17">
        <v>25000</v>
      </c>
      <c r="AL75" s="17"/>
      <c r="AM75" s="17"/>
      <c r="AN75" s="17">
        <v>75000</v>
      </c>
      <c r="AO75" s="17">
        <v>75000</v>
      </c>
      <c r="AP75" s="17">
        <v>75000</v>
      </c>
      <c r="AQ75" s="17">
        <v>75000</v>
      </c>
      <c r="AR75" s="17">
        <v>50000</v>
      </c>
      <c r="AS75" s="17"/>
      <c r="AT75" s="17"/>
      <c r="AU75" s="22">
        <v>75000</v>
      </c>
      <c r="AV75" s="17">
        <v>7720</v>
      </c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</row>
    <row r="76" spans="1:107" ht="14.25" hidden="1" customHeight="1" x14ac:dyDescent="0.3">
      <c r="A76" s="27" t="s">
        <v>134</v>
      </c>
      <c r="B76" s="6" t="s">
        <v>135</v>
      </c>
      <c r="C76" s="6" t="s">
        <v>136</v>
      </c>
      <c r="D76" s="6">
        <v>201491</v>
      </c>
      <c r="E76" s="27"/>
      <c r="F76" s="27"/>
      <c r="G76" s="6"/>
      <c r="H76" s="7" t="s">
        <v>26</v>
      </c>
      <c r="I76" s="21">
        <v>189000</v>
      </c>
      <c r="J76" s="18">
        <f t="shared" ref="J76:J77" si="131">IF(H76="T",0,I76-K76)</f>
        <v>189000</v>
      </c>
      <c r="K76" s="19">
        <f t="shared" si="130"/>
        <v>0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22"/>
      <c r="AJ76" s="17"/>
      <c r="AK76" s="22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</row>
    <row r="77" spans="1:107" ht="14.25" hidden="1" customHeight="1" x14ac:dyDescent="0.3">
      <c r="A77" s="27" t="s">
        <v>137</v>
      </c>
      <c r="B77" s="6" t="s">
        <v>138</v>
      </c>
      <c r="C77" s="6" t="s">
        <v>139</v>
      </c>
      <c r="D77" s="6">
        <v>200631</v>
      </c>
      <c r="E77" s="27">
        <v>10</v>
      </c>
      <c r="F77" s="6"/>
      <c r="G77" s="6" t="s">
        <v>29</v>
      </c>
      <c r="H77" s="7" t="s">
        <v>26</v>
      </c>
      <c r="I77" s="21">
        <v>253630</v>
      </c>
      <c r="J77" s="18">
        <f t="shared" si="131"/>
        <v>0</v>
      </c>
      <c r="K77" s="19">
        <f t="shared" si="130"/>
        <v>253630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22"/>
      <c r="AJ77" s="17"/>
      <c r="AK77" s="17"/>
      <c r="AL77" s="17"/>
      <c r="AM77" s="17"/>
      <c r="AN77" s="17"/>
      <c r="AO77" s="17"/>
      <c r="AP77" s="17"/>
      <c r="AQ77" s="17"/>
      <c r="AR77" s="17">
        <v>50000</v>
      </c>
      <c r="AS77" s="17"/>
      <c r="AT77" s="17"/>
      <c r="AU77" s="22">
        <v>75000</v>
      </c>
      <c r="AV77" s="17">
        <v>75000</v>
      </c>
      <c r="AW77" s="17">
        <v>53630</v>
      </c>
      <c r="AX77" s="17"/>
      <c r="AY77" s="17"/>
      <c r="AZ77" s="17"/>
      <c r="BA77" s="17"/>
      <c r="BB77" s="22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</row>
    <row r="78" spans="1:107" ht="14.25" hidden="1" customHeight="1" x14ac:dyDescent="0.3">
      <c r="A78" s="27" t="s">
        <v>140</v>
      </c>
      <c r="B78" s="6" t="s">
        <v>141</v>
      </c>
      <c r="C78" s="6" t="s">
        <v>142</v>
      </c>
      <c r="D78" s="6">
        <v>201571</v>
      </c>
      <c r="E78" s="27"/>
      <c r="F78" s="6"/>
      <c r="G78" s="6"/>
      <c r="H78" s="7" t="s">
        <v>26</v>
      </c>
      <c r="I78" s="21">
        <v>261000</v>
      </c>
      <c r="J78" s="18">
        <f t="shared" ref="J78" si="132">IF(H78="T",0,I78-K78)</f>
        <v>261000</v>
      </c>
      <c r="K78" s="19">
        <f t="shared" si="130"/>
        <v>0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22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</row>
    <row r="79" spans="1:107" ht="14.25" hidden="1" customHeight="1" x14ac:dyDescent="0.3">
      <c r="A79" s="27" t="s">
        <v>143</v>
      </c>
      <c r="B79" s="6" t="s">
        <v>144</v>
      </c>
      <c r="C79" s="6" t="s">
        <v>142</v>
      </c>
      <c r="D79" s="6">
        <v>201571</v>
      </c>
      <c r="E79" s="27"/>
      <c r="F79" s="6"/>
      <c r="G79" s="6"/>
      <c r="H79" s="7" t="s">
        <v>26</v>
      </c>
      <c r="I79" s="21">
        <v>150000</v>
      </c>
      <c r="J79" s="18">
        <f t="shared" ref="J79:J80" si="133">IF(H79="T",0,I79-K79)</f>
        <v>150000</v>
      </c>
      <c r="K79" s="19">
        <f t="shared" si="130"/>
        <v>0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22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</row>
    <row r="80" spans="1:107" ht="14.25" hidden="1" customHeight="1" x14ac:dyDescent="0.3">
      <c r="A80" s="27" t="s">
        <v>145</v>
      </c>
      <c r="B80" s="6" t="s">
        <v>146</v>
      </c>
      <c r="C80" s="6" t="s">
        <v>147</v>
      </c>
      <c r="D80" s="6">
        <v>201341</v>
      </c>
      <c r="E80" s="27"/>
      <c r="F80" s="6"/>
      <c r="G80" s="6"/>
      <c r="H80" s="7" t="s">
        <v>26</v>
      </c>
      <c r="I80" s="21">
        <v>343400</v>
      </c>
      <c r="J80" s="18">
        <f t="shared" si="133"/>
        <v>343400</v>
      </c>
      <c r="K80" s="19">
        <f t="shared" si="130"/>
        <v>0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22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</row>
    <row r="81" spans="1:107" ht="14.25" hidden="1" customHeight="1" x14ac:dyDescent="0.3">
      <c r="A81" s="27" t="s">
        <v>148</v>
      </c>
      <c r="B81" s="6" t="s">
        <v>149</v>
      </c>
      <c r="C81" s="6" t="s">
        <v>150</v>
      </c>
      <c r="D81" s="6">
        <v>102491</v>
      </c>
      <c r="E81" s="27"/>
      <c r="F81" s="6"/>
      <c r="G81" s="6"/>
      <c r="H81" s="7" t="s">
        <v>26</v>
      </c>
      <c r="I81" s="21">
        <v>167900</v>
      </c>
      <c r="J81" s="18">
        <f t="shared" ref="J81" si="134">IF(H81="T",0,I81-K81)</f>
        <v>167900</v>
      </c>
      <c r="K81" s="19">
        <f t="shared" si="130"/>
        <v>0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22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</row>
    <row r="82" spans="1:107" ht="14.25" hidden="1" customHeight="1" x14ac:dyDescent="0.3">
      <c r="A82" s="27" t="s">
        <v>151</v>
      </c>
      <c r="B82" s="6" t="s">
        <v>152</v>
      </c>
      <c r="C82" s="6" t="s">
        <v>102</v>
      </c>
      <c r="D82" s="6">
        <v>201431</v>
      </c>
      <c r="E82" s="27"/>
      <c r="F82" s="6"/>
      <c r="G82" s="6"/>
      <c r="H82" s="7" t="s">
        <v>26</v>
      </c>
      <c r="I82" s="21">
        <v>162980</v>
      </c>
      <c r="J82" s="18">
        <f t="shared" si="128"/>
        <v>162980</v>
      </c>
      <c r="K82" s="19">
        <f t="shared" si="130"/>
        <v>0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22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</row>
    <row r="83" spans="1:107" ht="14.25" hidden="1" customHeight="1" x14ac:dyDescent="0.3">
      <c r="A83" s="27" t="s">
        <v>153</v>
      </c>
      <c r="B83" s="6" t="s">
        <v>154</v>
      </c>
      <c r="C83" s="6" t="s">
        <v>97</v>
      </c>
      <c r="D83" s="6">
        <v>100641</v>
      </c>
      <c r="E83" s="27">
        <v>5</v>
      </c>
      <c r="F83" s="6"/>
      <c r="G83" s="6" t="s">
        <v>29</v>
      </c>
      <c r="H83" s="7" t="s">
        <v>44</v>
      </c>
      <c r="I83" s="21">
        <v>110800</v>
      </c>
      <c r="J83" s="18">
        <f t="shared" ref="J83" si="135">IF(H83="T",0,I83-K83)</f>
        <v>0</v>
      </c>
      <c r="K83" s="19">
        <f t="shared" si="130"/>
        <v>50000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>
        <v>25000</v>
      </c>
      <c r="AJ83" s="17">
        <v>25000</v>
      </c>
      <c r="AK83" s="22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22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</row>
    <row r="84" spans="1:107" ht="14.25" hidden="1" customHeight="1" x14ac:dyDescent="0.3">
      <c r="A84" s="27" t="s">
        <v>155</v>
      </c>
      <c r="B84" s="6" t="s">
        <v>154</v>
      </c>
      <c r="C84" s="6" t="s">
        <v>99</v>
      </c>
      <c r="D84" s="6">
        <v>202331</v>
      </c>
      <c r="E84" s="27">
        <v>9</v>
      </c>
      <c r="F84" s="27"/>
      <c r="G84" s="6" t="s">
        <v>25</v>
      </c>
      <c r="H84" s="7" t="s">
        <v>26</v>
      </c>
      <c r="I84" s="21">
        <v>175000</v>
      </c>
      <c r="J84" s="18">
        <f t="shared" si="128"/>
        <v>-25000</v>
      </c>
      <c r="K84" s="19">
        <f t="shared" si="130"/>
        <v>200000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22"/>
      <c r="AJ84" s="17"/>
      <c r="AK84" s="17"/>
      <c r="AL84" s="17"/>
      <c r="AM84" s="17"/>
      <c r="AN84" s="17"/>
      <c r="AO84" s="17"/>
      <c r="AP84" s="17"/>
      <c r="AQ84" s="17">
        <v>25000</v>
      </c>
      <c r="AR84" s="17">
        <v>75000</v>
      </c>
      <c r="AS84" s="17"/>
      <c r="AT84" s="17"/>
      <c r="AU84" s="22">
        <v>100000</v>
      </c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</row>
    <row r="85" spans="1:107" ht="14.25" hidden="1" customHeight="1" x14ac:dyDescent="0.3">
      <c r="A85" s="27" t="s">
        <v>156</v>
      </c>
      <c r="B85" s="6" t="s">
        <v>157</v>
      </c>
      <c r="C85" s="6" t="s">
        <v>124</v>
      </c>
      <c r="D85" s="6">
        <v>200681</v>
      </c>
      <c r="E85" s="27"/>
      <c r="F85" s="27"/>
      <c r="G85" s="6"/>
      <c r="H85" s="7" t="s">
        <v>26</v>
      </c>
      <c r="I85" s="21">
        <v>10000</v>
      </c>
      <c r="J85" s="18">
        <f t="shared" ref="J85" si="136">IF(H85="T",0,I85-K85)</f>
        <v>10000</v>
      </c>
      <c r="K85" s="19">
        <f t="shared" si="130"/>
        <v>0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22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</row>
    <row r="86" spans="1:107" ht="14.25" hidden="1" customHeight="1" x14ac:dyDescent="0.3">
      <c r="A86" s="27" t="s">
        <v>156</v>
      </c>
      <c r="B86" s="6" t="s">
        <v>157</v>
      </c>
      <c r="C86" s="6" t="s">
        <v>158</v>
      </c>
      <c r="D86" s="6">
        <v>200691</v>
      </c>
      <c r="E86" s="27"/>
      <c r="F86" s="27"/>
      <c r="G86" s="6"/>
      <c r="H86" s="7" t="s">
        <v>26</v>
      </c>
      <c r="I86" s="21">
        <v>30000</v>
      </c>
      <c r="J86" s="18">
        <f t="shared" si="128"/>
        <v>30000</v>
      </c>
      <c r="K86" s="19">
        <f t="shared" si="130"/>
        <v>0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22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</row>
    <row r="87" spans="1:107" ht="14.25" hidden="1" customHeight="1" x14ac:dyDescent="0.3">
      <c r="A87" s="27" t="s">
        <v>159</v>
      </c>
      <c r="B87" s="6" t="s">
        <v>160</v>
      </c>
      <c r="C87" s="6" t="s">
        <v>161</v>
      </c>
      <c r="D87" s="6">
        <v>101321</v>
      </c>
      <c r="E87" s="27">
        <v>5</v>
      </c>
      <c r="F87" s="27"/>
      <c r="G87" s="6" t="s">
        <v>29</v>
      </c>
      <c r="H87" s="7" t="s">
        <v>26</v>
      </c>
      <c r="I87" s="21">
        <v>191250</v>
      </c>
      <c r="J87" s="18">
        <f t="shared" si="128"/>
        <v>0</v>
      </c>
      <c r="K87" s="19">
        <f t="shared" si="130"/>
        <v>191250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22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22">
        <v>24000</v>
      </c>
      <c r="AV87" s="17">
        <v>24000</v>
      </c>
      <c r="AW87" s="17">
        <v>24000</v>
      </c>
      <c r="AX87" s="17">
        <v>24000</v>
      </c>
      <c r="AY87" s="17">
        <v>24000</v>
      </c>
      <c r="AZ87" s="17"/>
      <c r="BA87" s="17"/>
      <c r="BB87" s="17">
        <v>24000</v>
      </c>
      <c r="BC87" s="17">
        <v>24000</v>
      </c>
      <c r="BD87" s="17">
        <v>23250</v>
      </c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</row>
    <row r="88" spans="1:107" ht="14.25" hidden="1" customHeight="1" x14ac:dyDescent="0.3">
      <c r="A88" s="27" t="s">
        <v>162</v>
      </c>
      <c r="B88" s="6" t="s">
        <v>163</v>
      </c>
      <c r="C88" s="6" t="s">
        <v>164</v>
      </c>
      <c r="D88" s="6">
        <v>260621</v>
      </c>
      <c r="E88" s="27">
        <v>4</v>
      </c>
      <c r="F88" s="27"/>
      <c r="G88" s="6"/>
      <c r="H88" s="7" t="s">
        <v>44</v>
      </c>
      <c r="I88" s="21">
        <v>33800</v>
      </c>
      <c r="J88" s="18">
        <f t="shared" ref="J88" si="137">IF(H88="T",0,I88-K88)</f>
        <v>0</v>
      </c>
      <c r="K88" s="19">
        <f t="shared" si="130"/>
        <v>12000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22"/>
      <c r="AJ88" s="17"/>
      <c r="AK88" s="17"/>
      <c r="AL88" s="17"/>
      <c r="AM88" s="17"/>
      <c r="AN88" s="17"/>
      <c r="AO88" s="17"/>
      <c r="AP88" s="17">
        <v>12000</v>
      </c>
      <c r="AQ88" s="17"/>
      <c r="AR88" s="17"/>
      <c r="AS88" s="17"/>
      <c r="AT88" s="17"/>
      <c r="AU88" s="17"/>
      <c r="AV88" s="17"/>
      <c r="AW88" s="17"/>
      <c r="AX88" s="22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</row>
    <row r="89" spans="1:107" ht="14.25" hidden="1" customHeight="1" x14ac:dyDescent="0.3">
      <c r="A89" s="27" t="s">
        <v>165</v>
      </c>
      <c r="B89" s="6" t="s">
        <v>166</v>
      </c>
      <c r="C89" s="6" t="s">
        <v>89</v>
      </c>
      <c r="D89" s="6">
        <v>101311</v>
      </c>
      <c r="E89" s="27"/>
      <c r="F89" s="6"/>
      <c r="G89" s="6"/>
      <c r="H89" s="7" t="s">
        <v>26</v>
      </c>
      <c r="I89" s="21">
        <v>170500</v>
      </c>
      <c r="J89" s="18">
        <f t="shared" si="128"/>
        <v>0</v>
      </c>
      <c r="K89" s="19">
        <f t="shared" si="130"/>
        <v>170500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22"/>
      <c r="AJ89" s="17"/>
      <c r="AK89" s="22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>
        <v>24000</v>
      </c>
      <c r="BF89" s="17"/>
      <c r="BG89" s="17"/>
      <c r="BH89" s="17"/>
      <c r="BI89" s="17">
        <v>24000</v>
      </c>
      <c r="BJ89" s="17">
        <v>24000</v>
      </c>
      <c r="BK89" s="17">
        <v>24000</v>
      </c>
      <c r="BL89" s="17">
        <v>24000</v>
      </c>
      <c r="BM89" s="17">
        <v>24000</v>
      </c>
      <c r="BN89" s="17"/>
      <c r="BO89" s="17"/>
      <c r="BP89" s="17">
        <v>26500</v>
      </c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</row>
    <row r="90" spans="1:107" ht="14.25" hidden="1" customHeight="1" x14ac:dyDescent="0.3">
      <c r="A90" s="27" t="s">
        <v>167</v>
      </c>
      <c r="B90" s="6" t="s">
        <v>168</v>
      </c>
      <c r="C90" s="6" t="s">
        <v>39</v>
      </c>
      <c r="D90" s="6">
        <v>202271</v>
      </c>
      <c r="E90" s="27">
        <v>11</v>
      </c>
      <c r="F90" s="6"/>
      <c r="G90" s="6" t="s">
        <v>25</v>
      </c>
      <c r="H90" s="7" t="s">
        <v>26</v>
      </c>
      <c r="I90" s="21">
        <v>366000</v>
      </c>
      <c r="J90" s="18">
        <f t="shared" ref="J90" si="138">IF(H90="T",0,I90-K90)</f>
        <v>0</v>
      </c>
      <c r="K90" s="19">
        <f t="shared" si="130"/>
        <v>366000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22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22">
        <v>100000</v>
      </c>
      <c r="AV90" s="17">
        <v>100000</v>
      </c>
      <c r="AW90" s="17">
        <v>100000</v>
      </c>
      <c r="AX90" s="17">
        <v>66000</v>
      </c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</row>
    <row r="91" spans="1:107" ht="14.25" hidden="1" customHeight="1" x14ac:dyDescent="0.3">
      <c r="A91" s="27" t="s">
        <v>169</v>
      </c>
      <c r="B91" s="6" t="s">
        <v>170</v>
      </c>
      <c r="C91" s="6" t="s">
        <v>68</v>
      </c>
      <c r="D91" s="6">
        <v>100581</v>
      </c>
      <c r="E91" s="27"/>
      <c r="F91" s="6"/>
      <c r="G91" s="6"/>
      <c r="H91" s="7" t="s">
        <v>26</v>
      </c>
      <c r="I91" s="21">
        <v>120860</v>
      </c>
      <c r="J91" s="18">
        <f t="shared" ref="J91" si="139">IF(H91="T",0,I91-K91)</f>
        <v>0</v>
      </c>
      <c r="K91" s="19">
        <f t="shared" si="130"/>
        <v>120860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22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>
        <v>50000</v>
      </c>
      <c r="AX91" s="17">
        <v>50000</v>
      </c>
      <c r="AY91" s="17">
        <v>20860</v>
      </c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</row>
    <row r="92" spans="1:107" ht="14.25" hidden="1" customHeight="1" x14ac:dyDescent="0.3">
      <c r="A92" s="27" t="s">
        <v>169</v>
      </c>
      <c r="B92" s="6" t="s">
        <v>170</v>
      </c>
      <c r="C92" s="6" t="s">
        <v>69</v>
      </c>
      <c r="D92" s="6">
        <v>200591</v>
      </c>
      <c r="E92" s="27">
        <v>7</v>
      </c>
      <c r="F92" s="6"/>
      <c r="G92" s="6" t="s">
        <v>25</v>
      </c>
      <c r="H92" s="7" t="s">
        <v>26</v>
      </c>
      <c r="I92" s="21">
        <v>103290</v>
      </c>
      <c r="J92" s="18">
        <f t="shared" ref="J92" si="140">IF(H92="T",0,I92-K92)</f>
        <v>0</v>
      </c>
      <c r="K92" s="19">
        <f t="shared" si="130"/>
        <v>103290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22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22">
        <v>50000</v>
      </c>
      <c r="AV92" s="17">
        <v>53290</v>
      </c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</row>
    <row r="93" spans="1:107" ht="14.25" hidden="1" customHeight="1" x14ac:dyDescent="0.3">
      <c r="A93" s="27" t="s">
        <v>169</v>
      </c>
      <c r="B93" s="6" t="s">
        <v>170</v>
      </c>
      <c r="C93" s="6" t="s">
        <v>102</v>
      </c>
      <c r="D93" s="6">
        <v>201431</v>
      </c>
      <c r="E93" s="27">
        <v>7</v>
      </c>
      <c r="F93" s="6"/>
      <c r="G93" s="6" t="s">
        <v>29</v>
      </c>
      <c r="H93" s="7" t="s">
        <v>26</v>
      </c>
      <c r="I93" s="21">
        <v>98400</v>
      </c>
      <c r="J93" s="18">
        <f t="shared" ref="J93" si="141">IF(H93="T",0,I93-K93)</f>
        <v>0</v>
      </c>
      <c r="K93" s="19">
        <f t="shared" si="130"/>
        <v>98400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22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22">
        <v>25000</v>
      </c>
      <c r="AV93" s="17">
        <v>25000</v>
      </c>
      <c r="AW93" s="17">
        <v>25000</v>
      </c>
      <c r="AX93" s="17">
        <v>23400</v>
      </c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</row>
    <row r="94" spans="1:107" ht="14.25" hidden="1" customHeight="1" x14ac:dyDescent="0.3">
      <c r="A94" s="27" t="s">
        <v>171</v>
      </c>
      <c r="B94" s="6" t="s">
        <v>172</v>
      </c>
      <c r="C94" s="6" t="s">
        <v>89</v>
      </c>
      <c r="D94" s="6">
        <v>101311</v>
      </c>
      <c r="E94" s="27">
        <v>5</v>
      </c>
      <c r="F94" s="6"/>
      <c r="G94" s="6" t="s">
        <v>25</v>
      </c>
      <c r="H94" s="7" t="s">
        <v>26</v>
      </c>
      <c r="I94" s="21">
        <v>959910</v>
      </c>
      <c r="J94" s="18">
        <f t="shared" ref="J94" si="142">IF(H94="T",0,I94-K94)</f>
        <v>362910</v>
      </c>
      <c r="K94" s="19">
        <f t="shared" si="130"/>
        <v>597000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>
        <v>75000</v>
      </c>
      <c r="AH94" s="17">
        <v>75000</v>
      </c>
      <c r="AI94" s="17">
        <v>75000</v>
      </c>
      <c r="AJ94" s="17">
        <v>75000</v>
      </c>
      <c r="AK94" s="17">
        <v>75000</v>
      </c>
      <c r="AL94" s="17"/>
      <c r="AM94" s="17"/>
      <c r="AN94" s="17">
        <v>75000</v>
      </c>
      <c r="AO94" s="17">
        <v>50000</v>
      </c>
      <c r="AP94" s="17"/>
      <c r="AQ94" s="17">
        <v>12000</v>
      </c>
      <c r="AR94" s="17">
        <v>12000</v>
      </c>
      <c r="AS94" s="17"/>
      <c r="AT94" s="17"/>
      <c r="AU94" s="22">
        <v>25000</v>
      </c>
      <c r="AV94" s="17">
        <v>12000</v>
      </c>
      <c r="AW94" s="17">
        <v>12000</v>
      </c>
      <c r="AX94" s="17">
        <v>12000</v>
      </c>
      <c r="AY94" s="17">
        <v>12000</v>
      </c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</row>
    <row r="95" spans="1:107" ht="14.25" hidden="1" customHeight="1" x14ac:dyDescent="0.3">
      <c r="A95" s="27" t="s">
        <v>171</v>
      </c>
      <c r="B95" s="6" t="s">
        <v>172</v>
      </c>
      <c r="C95" s="6" t="s">
        <v>173</v>
      </c>
      <c r="D95" s="33" t="s">
        <v>174</v>
      </c>
      <c r="E95" s="27">
        <v>4</v>
      </c>
      <c r="F95" s="6"/>
      <c r="G95" s="6" t="s">
        <v>29</v>
      </c>
      <c r="H95" s="7" t="s">
        <v>26</v>
      </c>
      <c r="I95" s="21">
        <v>81400</v>
      </c>
      <c r="J95" s="18">
        <f t="shared" si="128"/>
        <v>-2600</v>
      </c>
      <c r="K95" s="19">
        <f t="shared" si="130"/>
        <v>84000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>
        <v>12000</v>
      </c>
      <c r="AJ95" s="17">
        <v>12000</v>
      </c>
      <c r="AK95" s="17">
        <v>12000</v>
      </c>
      <c r="AL95" s="17"/>
      <c r="AM95" s="17"/>
      <c r="AN95" s="17"/>
      <c r="AO95" s="17">
        <v>12000</v>
      </c>
      <c r="AP95" s="17">
        <v>12000</v>
      </c>
      <c r="AQ95" s="17">
        <v>12000</v>
      </c>
      <c r="AR95" s="17">
        <v>12000</v>
      </c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</row>
    <row r="96" spans="1:107" ht="14.25" hidden="1" customHeight="1" x14ac:dyDescent="0.3">
      <c r="A96" s="27" t="s">
        <v>171</v>
      </c>
      <c r="B96" s="6" t="s">
        <v>172</v>
      </c>
      <c r="C96" s="6" t="s">
        <v>90</v>
      </c>
      <c r="D96" s="6">
        <v>201321</v>
      </c>
      <c r="E96" s="27">
        <v>3</v>
      </c>
      <c r="F96" s="6"/>
      <c r="G96" s="6" t="s">
        <v>25</v>
      </c>
      <c r="H96" s="7" t="s">
        <v>26</v>
      </c>
      <c r="I96" s="21">
        <v>355340</v>
      </c>
      <c r="J96" s="18">
        <f t="shared" si="128"/>
        <v>205340</v>
      </c>
      <c r="K96" s="19">
        <f t="shared" si="130"/>
        <v>150000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>
        <v>75000</v>
      </c>
      <c r="AH96" s="17">
        <v>75000</v>
      </c>
      <c r="AI96" s="22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</row>
    <row r="97" spans="1:107" ht="14.25" hidden="1" customHeight="1" x14ac:dyDescent="0.3">
      <c r="A97" s="27" t="s">
        <v>175</v>
      </c>
      <c r="B97" s="6" t="s">
        <v>176</v>
      </c>
      <c r="C97" s="6" t="s">
        <v>136</v>
      </c>
      <c r="D97" s="6">
        <v>201491</v>
      </c>
      <c r="E97" s="27">
        <v>10</v>
      </c>
      <c r="F97" s="27"/>
      <c r="G97" s="6" t="s">
        <v>25</v>
      </c>
      <c r="H97" s="7" t="s">
        <v>26</v>
      </c>
      <c r="I97" s="21">
        <v>161500</v>
      </c>
      <c r="J97" s="18">
        <f>IF(H97="T",0,I97-K97)</f>
        <v>0</v>
      </c>
      <c r="K97" s="19">
        <f t="shared" si="130"/>
        <v>161500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22"/>
      <c r="AJ97" s="17"/>
      <c r="AK97" s="17"/>
      <c r="AL97" s="17"/>
      <c r="AM97" s="17"/>
      <c r="AN97" s="17"/>
      <c r="AO97" s="17"/>
      <c r="AP97" s="17"/>
      <c r="AQ97" s="17">
        <v>24000</v>
      </c>
      <c r="AR97" s="17">
        <v>24000</v>
      </c>
      <c r="AS97" s="17"/>
      <c r="AT97" s="17"/>
      <c r="AU97" s="22">
        <v>24000</v>
      </c>
      <c r="AV97" s="17">
        <v>24000</v>
      </c>
      <c r="AW97" s="17">
        <v>24000</v>
      </c>
      <c r="AX97" s="17">
        <v>24000</v>
      </c>
      <c r="AY97" s="17">
        <v>17500</v>
      </c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</row>
    <row r="98" spans="1:107" ht="14.25" hidden="1" customHeight="1" x14ac:dyDescent="0.3">
      <c r="A98" s="27" t="s">
        <v>177</v>
      </c>
      <c r="B98" s="6" t="s">
        <v>178</v>
      </c>
      <c r="C98" s="6" t="s">
        <v>87</v>
      </c>
      <c r="D98" s="6">
        <v>100451</v>
      </c>
      <c r="E98" s="27">
        <v>5</v>
      </c>
      <c r="F98" s="6"/>
      <c r="G98" s="6" t="s">
        <v>29</v>
      </c>
      <c r="H98" s="7" t="s">
        <v>44</v>
      </c>
      <c r="I98" s="21">
        <v>123694</v>
      </c>
      <c r="J98" s="18">
        <f t="shared" ref="J98" si="143">IF(H98="T",0,I98-K98)</f>
        <v>0</v>
      </c>
      <c r="K98" s="19">
        <f t="shared" si="130"/>
        <v>136000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>
        <v>50000</v>
      </c>
      <c r="AI98" s="17">
        <v>25000</v>
      </c>
      <c r="AJ98" s="17">
        <v>12000</v>
      </c>
      <c r="AK98" s="17">
        <v>24000</v>
      </c>
      <c r="AL98" s="17"/>
      <c r="AM98" s="17"/>
      <c r="AN98" s="17">
        <v>25000</v>
      </c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22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</row>
    <row r="99" spans="1:107" ht="14.25" hidden="1" customHeight="1" x14ac:dyDescent="0.3">
      <c r="A99" s="27">
        <v>9</v>
      </c>
      <c r="B99" s="6" t="s">
        <v>179</v>
      </c>
      <c r="C99" s="6" t="s">
        <v>180</v>
      </c>
      <c r="D99" s="6">
        <v>200651</v>
      </c>
      <c r="E99" s="27">
        <v>7</v>
      </c>
      <c r="F99" s="6"/>
      <c r="G99" s="6" t="s">
        <v>29</v>
      </c>
      <c r="H99" s="7" t="s">
        <v>44</v>
      </c>
      <c r="I99" s="21">
        <v>100000</v>
      </c>
      <c r="J99" s="18">
        <f t="shared" ref="J99:J101" si="144">IF(H99="T",0,I99-K99)</f>
        <v>0</v>
      </c>
      <c r="K99" s="19">
        <f t="shared" si="130"/>
        <v>112000</v>
      </c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22"/>
      <c r="AJ99" s="17"/>
      <c r="AK99" s="17"/>
      <c r="AL99" s="17"/>
      <c r="AM99" s="17"/>
      <c r="AN99" s="17">
        <v>25000</v>
      </c>
      <c r="AO99" s="17">
        <v>37500</v>
      </c>
      <c r="AP99" s="17">
        <v>37500</v>
      </c>
      <c r="AQ99" s="17">
        <v>12000</v>
      </c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</row>
    <row r="100" spans="1:107" ht="14.25" hidden="1" customHeight="1" x14ac:dyDescent="0.3">
      <c r="A100" s="27">
        <v>9</v>
      </c>
      <c r="B100" s="6" t="s">
        <v>179</v>
      </c>
      <c r="C100" s="6" t="s">
        <v>97</v>
      </c>
      <c r="D100" s="11">
        <v>100641</v>
      </c>
      <c r="E100" s="27"/>
      <c r="F100" s="6"/>
      <c r="G100" s="6" t="s">
        <v>29</v>
      </c>
      <c r="H100" s="7" t="s">
        <v>26</v>
      </c>
      <c r="I100" s="21">
        <v>195000</v>
      </c>
      <c r="J100" s="18">
        <f t="shared" ref="J100" si="145">IF(H100="T",0,I100-K100)</f>
        <v>195000</v>
      </c>
      <c r="K100" s="19">
        <f t="shared" ref="K100" si="146">SUM(L100:DC100)</f>
        <v>0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22"/>
      <c r="AJ100" s="17"/>
      <c r="AK100" s="17"/>
      <c r="AL100" s="17"/>
      <c r="AM100" s="17"/>
      <c r="AN100" s="17"/>
      <c r="AO100" s="17"/>
      <c r="AP100" s="17"/>
      <c r="AQ100" s="22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</row>
    <row r="101" spans="1:107" ht="14.25" hidden="1" customHeight="1" x14ac:dyDescent="0.3">
      <c r="A101" s="27">
        <v>98</v>
      </c>
      <c r="B101" s="6" t="s">
        <v>181</v>
      </c>
      <c r="C101" s="6" t="s">
        <v>182</v>
      </c>
      <c r="D101" s="11">
        <v>100621</v>
      </c>
      <c r="E101" s="27">
        <v>5</v>
      </c>
      <c r="F101" s="6"/>
      <c r="G101" s="6" t="s">
        <v>29</v>
      </c>
      <c r="H101" s="7" t="s">
        <v>26</v>
      </c>
      <c r="I101" s="21">
        <v>500000</v>
      </c>
      <c r="J101" s="18">
        <f t="shared" si="144"/>
        <v>50000</v>
      </c>
      <c r="K101" s="19">
        <f t="shared" si="130"/>
        <v>450000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>
        <v>25000</v>
      </c>
      <c r="AQ101" s="17">
        <v>25000</v>
      </c>
      <c r="AR101" s="17">
        <v>25000</v>
      </c>
      <c r="AS101" s="17"/>
      <c r="AT101" s="17"/>
      <c r="AU101" s="22">
        <v>25000</v>
      </c>
      <c r="AV101" s="17">
        <v>50000</v>
      </c>
      <c r="AW101" s="17">
        <v>50000</v>
      </c>
      <c r="AX101" s="17">
        <v>50000</v>
      </c>
      <c r="AY101" s="17">
        <v>50000</v>
      </c>
      <c r="AZ101" s="17"/>
      <c r="BA101" s="17"/>
      <c r="BB101" s="17">
        <v>25000</v>
      </c>
      <c r="BC101" s="17">
        <v>50000</v>
      </c>
      <c r="BD101" s="17">
        <v>50000</v>
      </c>
      <c r="BE101" s="17">
        <v>25000</v>
      </c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</row>
    <row r="102" spans="1:107" ht="14.25" hidden="1" customHeight="1" x14ac:dyDescent="0.3">
      <c r="A102" s="27">
        <v>78</v>
      </c>
      <c r="B102" s="6" t="s">
        <v>183</v>
      </c>
      <c r="C102" s="6" t="s">
        <v>142</v>
      </c>
      <c r="D102" s="11">
        <v>201571</v>
      </c>
      <c r="E102" s="27">
        <v>7</v>
      </c>
      <c r="F102" s="6"/>
      <c r="G102" s="6" t="s">
        <v>29</v>
      </c>
      <c r="H102" s="7" t="s">
        <v>26</v>
      </c>
      <c r="I102" s="21">
        <v>107200</v>
      </c>
      <c r="J102" s="18">
        <f t="shared" ref="J102" si="147">IF(H102="T",0,I102-K102)</f>
        <v>-800</v>
      </c>
      <c r="K102" s="19">
        <f t="shared" ref="K102" si="148">SUM(L102:DC102)</f>
        <v>108000</v>
      </c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>
        <v>24000</v>
      </c>
      <c r="AP102" s="17">
        <v>36000</v>
      </c>
      <c r="AQ102" s="17">
        <v>36000</v>
      </c>
      <c r="AR102" s="17">
        <v>12000</v>
      </c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</row>
    <row r="103" spans="1:107" ht="14.25" hidden="1" customHeight="1" x14ac:dyDescent="0.3">
      <c r="A103" s="27">
        <v>57</v>
      </c>
      <c r="B103" s="6" t="s">
        <v>184</v>
      </c>
      <c r="C103" s="6" t="s">
        <v>185</v>
      </c>
      <c r="D103" s="11">
        <v>101461</v>
      </c>
      <c r="E103" s="27">
        <v>5</v>
      </c>
      <c r="F103" s="6"/>
      <c r="G103" s="6" t="s">
        <v>25</v>
      </c>
      <c r="H103" s="7" t="s">
        <v>26</v>
      </c>
      <c r="I103" s="21">
        <v>46800</v>
      </c>
      <c r="J103" s="18">
        <f t="shared" ref="J103:J104" si="149">IF(H103="T",0,I103-K103)</f>
        <v>0</v>
      </c>
      <c r="K103" s="19">
        <f t="shared" ref="K103:K104" si="150">SUM(L103:DC103)</f>
        <v>46800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>
        <v>46800</v>
      </c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</row>
    <row r="104" spans="1:107" ht="14.25" hidden="1" customHeight="1" x14ac:dyDescent="0.3">
      <c r="A104" s="27">
        <v>57</v>
      </c>
      <c r="B104" s="6" t="s">
        <v>184</v>
      </c>
      <c r="C104" s="6" t="s">
        <v>92</v>
      </c>
      <c r="D104" s="11">
        <v>201471</v>
      </c>
      <c r="E104" s="27">
        <v>10</v>
      </c>
      <c r="F104" s="6"/>
      <c r="G104" s="6" t="s">
        <v>25</v>
      </c>
      <c r="H104" s="7" t="s">
        <v>26</v>
      </c>
      <c r="I104" s="21">
        <v>115600</v>
      </c>
      <c r="J104" s="18">
        <f t="shared" si="149"/>
        <v>115600</v>
      </c>
      <c r="K104" s="19">
        <f t="shared" si="150"/>
        <v>0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22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</row>
    <row r="105" spans="1:107" ht="14.25" hidden="1" customHeight="1" x14ac:dyDescent="0.3">
      <c r="A105" s="27">
        <v>61</v>
      </c>
      <c r="B105" s="6" t="s">
        <v>186</v>
      </c>
      <c r="C105" s="6" t="s">
        <v>102</v>
      </c>
      <c r="D105" s="11">
        <v>201431</v>
      </c>
      <c r="E105" s="27">
        <v>7</v>
      </c>
      <c r="F105" s="6"/>
      <c r="G105" s="6" t="s">
        <v>29</v>
      </c>
      <c r="H105" s="7" t="s">
        <v>26</v>
      </c>
      <c r="I105" s="21">
        <v>34020</v>
      </c>
      <c r="J105" s="18">
        <f t="shared" ref="J105:J106" si="151">IF(H105="T",0,I105-K105)</f>
        <v>0</v>
      </c>
      <c r="K105" s="19">
        <f t="shared" ref="K105:K106" si="152">SUM(L105:DC105)</f>
        <v>34020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22"/>
      <c r="AQ105" s="17"/>
      <c r="AR105" s="17"/>
      <c r="AS105" s="17"/>
      <c r="AT105" s="17"/>
      <c r="AU105" s="22">
        <v>12000</v>
      </c>
      <c r="AV105" s="17">
        <v>12000</v>
      </c>
      <c r="AW105" s="17">
        <v>10020</v>
      </c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</row>
    <row r="106" spans="1:107" ht="14.25" hidden="1" customHeight="1" x14ac:dyDescent="0.3">
      <c r="A106" s="27">
        <v>50</v>
      </c>
      <c r="B106" s="6" t="s">
        <v>187</v>
      </c>
      <c r="C106" s="6" t="s">
        <v>89</v>
      </c>
      <c r="D106" s="11">
        <v>101311</v>
      </c>
      <c r="E106" s="27">
        <v>5</v>
      </c>
      <c r="F106" s="6"/>
      <c r="G106" s="6" t="s">
        <v>29</v>
      </c>
      <c r="H106" s="7" t="s">
        <v>26</v>
      </c>
      <c r="I106" s="21">
        <v>256900</v>
      </c>
      <c r="J106" s="18">
        <f t="shared" si="151"/>
        <v>0</v>
      </c>
      <c r="K106" s="19">
        <f t="shared" si="152"/>
        <v>256900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22"/>
      <c r="AQ106" s="17"/>
      <c r="AR106" s="17"/>
      <c r="AS106" s="17"/>
      <c r="AT106" s="17"/>
      <c r="AU106" s="22">
        <v>25000</v>
      </c>
      <c r="AV106" s="17">
        <v>25000</v>
      </c>
      <c r="AW106" s="17">
        <v>25000</v>
      </c>
      <c r="AX106" s="17">
        <v>25000</v>
      </c>
      <c r="AY106" s="17">
        <v>25000</v>
      </c>
      <c r="AZ106" s="17"/>
      <c r="BA106" s="17"/>
      <c r="BB106" s="17">
        <v>25000</v>
      </c>
      <c r="BC106" s="17">
        <v>25000</v>
      </c>
      <c r="BD106" s="17">
        <v>25000</v>
      </c>
      <c r="BE106" s="17">
        <v>25000</v>
      </c>
      <c r="BF106" s="17"/>
      <c r="BG106" s="17"/>
      <c r="BH106" s="17"/>
      <c r="BI106" s="17">
        <v>25000</v>
      </c>
      <c r="BJ106" s="17">
        <v>6900</v>
      </c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</row>
    <row r="107" spans="1:107" ht="14.25" hidden="1" customHeight="1" x14ac:dyDescent="0.3">
      <c r="A107" s="27">
        <v>73</v>
      </c>
      <c r="B107" s="6" t="s">
        <v>188</v>
      </c>
      <c r="C107" s="6" t="s">
        <v>189</v>
      </c>
      <c r="D107" s="11">
        <v>200411</v>
      </c>
      <c r="E107" s="27"/>
      <c r="F107" s="6"/>
      <c r="G107" s="6" t="s">
        <v>25</v>
      </c>
      <c r="H107" s="7" t="s">
        <v>26</v>
      </c>
      <c r="I107" s="21">
        <v>42816</v>
      </c>
      <c r="J107" s="18">
        <f t="shared" ref="J107" si="153">IF(H107="T",0,I107-K107)</f>
        <v>0</v>
      </c>
      <c r="K107" s="19">
        <f t="shared" ref="K107" si="154">SUM(L107:DC107)</f>
        <v>42816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22"/>
      <c r="AQ107" s="17"/>
      <c r="AR107" s="17"/>
      <c r="AS107" s="17"/>
      <c r="AT107" s="17"/>
      <c r="AU107" s="17"/>
      <c r="AV107" s="17">
        <v>42816</v>
      </c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</row>
    <row r="108" spans="1:107" ht="14.25" hidden="1" customHeight="1" x14ac:dyDescent="0.3">
      <c r="A108" s="27"/>
      <c r="B108" s="6" t="s">
        <v>190</v>
      </c>
      <c r="C108" s="6" t="s">
        <v>191</v>
      </c>
      <c r="E108" s="27"/>
      <c r="F108" s="6"/>
      <c r="G108" s="6"/>
      <c r="H108" s="7" t="s">
        <v>26</v>
      </c>
      <c r="I108" s="21">
        <v>84000</v>
      </c>
      <c r="J108" s="18">
        <f t="shared" ref="J108:J109" si="155">IF(H108="T",0,I108-K108)</f>
        <v>0</v>
      </c>
      <c r="K108" s="19">
        <f t="shared" ref="K108:K109" si="156">SUM(L108:DC108)</f>
        <v>84000</v>
      </c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22"/>
      <c r="AQ108" s="17"/>
      <c r="AR108" s="17"/>
      <c r="AS108" s="17"/>
      <c r="AT108" s="17"/>
      <c r="AU108" s="17"/>
      <c r="AV108" s="17">
        <v>24000</v>
      </c>
      <c r="AW108" s="17">
        <v>24000</v>
      </c>
      <c r="AX108" s="17">
        <v>24000</v>
      </c>
      <c r="AY108" s="17">
        <v>12000</v>
      </c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</row>
    <row r="109" spans="1:107" ht="14.25" hidden="1" customHeight="1" x14ac:dyDescent="0.3">
      <c r="A109" s="27">
        <v>40</v>
      </c>
      <c r="B109" s="6" t="s">
        <v>192</v>
      </c>
      <c r="C109" s="6" t="s">
        <v>193</v>
      </c>
      <c r="D109" s="11">
        <v>201501</v>
      </c>
      <c r="E109" s="27"/>
      <c r="F109" s="6"/>
      <c r="G109" s="6" t="s">
        <v>25</v>
      </c>
      <c r="H109" s="7" t="s">
        <v>26</v>
      </c>
      <c r="I109" s="21">
        <v>33000</v>
      </c>
      <c r="J109" s="18">
        <f t="shared" si="155"/>
        <v>0</v>
      </c>
      <c r="K109" s="19">
        <f t="shared" si="156"/>
        <v>33000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22"/>
      <c r="AQ109" s="17"/>
      <c r="AR109" s="17"/>
      <c r="AS109" s="17"/>
      <c r="AT109" s="17"/>
      <c r="AU109" s="17"/>
      <c r="AV109" s="17">
        <v>33000</v>
      </c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</row>
    <row r="110" spans="1:107" ht="14.25" hidden="1" customHeight="1" x14ac:dyDescent="0.3">
      <c r="A110" s="27">
        <v>76</v>
      </c>
      <c r="B110" s="6" t="s">
        <v>194</v>
      </c>
      <c r="C110" s="6" t="s">
        <v>195</v>
      </c>
      <c r="D110" s="11">
        <v>201531</v>
      </c>
      <c r="E110" s="27"/>
      <c r="F110" s="6"/>
      <c r="G110" s="6" t="s">
        <v>29</v>
      </c>
      <c r="H110" s="7" t="s">
        <v>26</v>
      </c>
      <c r="I110" s="21">
        <v>175500</v>
      </c>
      <c r="J110" s="18">
        <f t="shared" ref="J110" si="157">IF(H110="T",0,I110-K110)</f>
        <v>12000</v>
      </c>
      <c r="K110" s="19">
        <f t="shared" ref="K110" si="158">SUM(L110:DC110)</f>
        <v>163500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22"/>
      <c r="AQ110" s="17"/>
      <c r="AR110" s="17"/>
      <c r="AS110" s="17"/>
      <c r="AT110" s="17"/>
      <c r="AU110" s="17"/>
      <c r="AV110" s="17">
        <v>24000</v>
      </c>
      <c r="AW110" s="17">
        <v>24000</v>
      </c>
      <c r="AX110" s="17">
        <v>24000</v>
      </c>
      <c r="AY110" s="17">
        <v>24000</v>
      </c>
      <c r="AZ110" s="17"/>
      <c r="BA110" s="17"/>
      <c r="BB110" s="17">
        <v>12000</v>
      </c>
      <c r="BC110" s="17">
        <v>24000</v>
      </c>
      <c r="BD110" s="17">
        <v>24000</v>
      </c>
      <c r="BE110" s="17">
        <v>7500</v>
      </c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</row>
    <row r="111" spans="1:107" ht="14.25" hidden="1" customHeight="1" x14ac:dyDescent="0.3">
      <c r="A111" s="27">
        <v>76</v>
      </c>
      <c r="B111" s="6" t="s">
        <v>194</v>
      </c>
      <c r="C111" s="6" t="s">
        <v>196</v>
      </c>
      <c r="D111" s="11">
        <v>221531</v>
      </c>
      <c r="E111" s="27"/>
      <c r="F111" s="6"/>
      <c r="G111" s="6" t="s">
        <v>29</v>
      </c>
      <c r="H111" s="7" t="s">
        <v>26</v>
      </c>
      <c r="I111" s="21">
        <v>28000</v>
      </c>
      <c r="J111" s="18">
        <f t="shared" ref="J111" si="159">IF(H111="T",0,I111-K111)</f>
        <v>0</v>
      </c>
      <c r="K111" s="19">
        <f t="shared" ref="K111" si="160">SUM(L111:DC111)</f>
        <v>28000</v>
      </c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22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>
        <v>12000</v>
      </c>
      <c r="BF111" s="17"/>
      <c r="BG111" s="17"/>
      <c r="BH111" s="17"/>
      <c r="BI111" s="17">
        <v>12000</v>
      </c>
      <c r="BJ111" s="17">
        <v>4000</v>
      </c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</row>
    <row r="112" spans="1:107" ht="14.25" hidden="1" customHeight="1" x14ac:dyDescent="0.3">
      <c r="A112" s="27">
        <v>92</v>
      </c>
      <c r="B112" s="6" t="s">
        <v>197</v>
      </c>
      <c r="C112" s="6" t="s">
        <v>195</v>
      </c>
      <c r="D112" s="11">
        <v>201531</v>
      </c>
      <c r="E112" s="27"/>
      <c r="F112" s="6"/>
      <c r="G112" s="6" t="s">
        <v>29</v>
      </c>
      <c r="H112" s="7" t="s">
        <v>26</v>
      </c>
      <c r="I112" s="21">
        <v>48000</v>
      </c>
      <c r="J112" s="18">
        <f t="shared" ref="J112" si="161">IF(H112="T",0,I112-K112)</f>
        <v>0</v>
      </c>
      <c r="K112" s="19">
        <f t="shared" ref="K112" si="162">SUM(L112:DC112)</f>
        <v>48000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22"/>
      <c r="AQ112" s="17"/>
      <c r="AR112" s="17"/>
      <c r="AS112" s="17"/>
      <c r="AT112" s="17"/>
      <c r="AU112" s="17"/>
      <c r="AV112" s="17"/>
      <c r="AW112" s="17"/>
      <c r="AX112" s="17">
        <v>12000</v>
      </c>
      <c r="AY112" s="17">
        <v>12000</v>
      </c>
      <c r="AZ112" s="17"/>
      <c r="BA112" s="17"/>
      <c r="BB112" s="17">
        <v>12000</v>
      </c>
      <c r="BC112" s="17">
        <v>12000</v>
      </c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</row>
    <row r="113" spans="1:107" ht="14.25" hidden="1" customHeight="1" x14ac:dyDescent="0.3">
      <c r="A113" s="27">
        <v>72</v>
      </c>
      <c r="B113" s="6" t="s">
        <v>198</v>
      </c>
      <c r="C113" s="6" t="s">
        <v>199</v>
      </c>
      <c r="D113" s="11">
        <v>201311</v>
      </c>
      <c r="E113" s="27"/>
      <c r="F113" s="6"/>
      <c r="G113" s="6" t="s">
        <v>25</v>
      </c>
      <c r="H113" s="7" t="s">
        <v>26</v>
      </c>
      <c r="I113" s="21">
        <v>45805</v>
      </c>
      <c r="J113" s="18">
        <f t="shared" ref="J113:J115" si="163">IF(H113="T",0,I113-K113)</f>
        <v>0</v>
      </c>
      <c r="K113" s="19">
        <f t="shared" ref="K113:K115" si="164">SUM(L113:DC113)</f>
        <v>45805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22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>
        <v>45805</v>
      </c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</row>
    <row r="114" spans="1:107" ht="14.25" hidden="1" customHeight="1" x14ac:dyDescent="0.3">
      <c r="A114" s="27">
        <v>72</v>
      </c>
      <c r="B114" s="6" t="s">
        <v>198</v>
      </c>
      <c r="C114" s="6" t="s">
        <v>200</v>
      </c>
      <c r="D114" s="11">
        <v>201301</v>
      </c>
      <c r="E114" s="27">
        <v>7</v>
      </c>
      <c r="F114" s="6"/>
      <c r="G114" s="6" t="s">
        <v>25</v>
      </c>
      <c r="H114" s="7" t="s">
        <v>26</v>
      </c>
      <c r="I114" s="21">
        <v>3850</v>
      </c>
      <c r="J114" s="18">
        <f t="shared" si="163"/>
        <v>-8150</v>
      </c>
      <c r="K114" s="19">
        <f t="shared" si="164"/>
        <v>12000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22"/>
      <c r="AQ114" s="17"/>
      <c r="AR114" s="17"/>
      <c r="AS114" s="17"/>
      <c r="AT114" s="17"/>
      <c r="AU114" s="22">
        <v>12000</v>
      </c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</row>
    <row r="115" spans="1:107" ht="14.25" hidden="1" customHeight="1" x14ac:dyDescent="0.3">
      <c r="A115" s="27">
        <v>72</v>
      </c>
      <c r="B115" s="6" t="s">
        <v>198</v>
      </c>
      <c r="C115" s="6" t="s">
        <v>30</v>
      </c>
      <c r="D115" s="11">
        <v>201331</v>
      </c>
      <c r="E115" s="27"/>
      <c r="F115" s="6"/>
      <c r="G115" s="6" t="s">
        <v>25</v>
      </c>
      <c r="H115" s="7" t="s">
        <v>26</v>
      </c>
      <c r="I115" s="21">
        <v>26042</v>
      </c>
      <c r="J115" s="18">
        <f t="shared" si="163"/>
        <v>0</v>
      </c>
      <c r="K115" s="19">
        <f t="shared" si="164"/>
        <v>26042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22"/>
      <c r="AQ115" s="17"/>
      <c r="AR115" s="17"/>
      <c r="AS115" s="17"/>
      <c r="AT115" s="17"/>
      <c r="AU115" s="17"/>
      <c r="AV115" s="17">
        <v>12000</v>
      </c>
      <c r="AW115" s="17">
        <v>14042</v>
      </c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</row>
    <row r="116" spans="1:107" ht="14.25" hidden="1" customHeight="1" x14ac:dyDescent="0.3">
      <c r="A116" s="27">
        <v>94</v>
      </c>
      <c r="B116" s="6" t="s">
        <v>201</v>
      </c>
      <c r="C116" s="6" t="s">
        <v>195</v>
      </c>
      <c r="D116" s="11">
        <v>201531</v>
      </c>
      <c r="E116" s="27"/>
      <c r="F116" s="6"/>
      <c r="G116" s="6" t="s">
        <v>29</v>
      </c>
      <c r="H116" s="7" t="s">
        <v>26</v>
      </c>
      <c r="I116" s="21">
        <v>10000</v>
      </c>
      <c r="J116" s="18">
        <f t="shared" ref="J116" si="165">IF(H116="T",0,I116-K116)</f>
        <v>0</v>
      </c>
      <c r="K116" s="19">
        <f t="shared" ref="K116" si="166">SUM(L116:DC116)</f>
        <v>10000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22"/>
      <c r="AQ116" s="17"/>
      <c r="AR116" s="17"/>
      <c r="AS116" s="17"/>
      <c r="AT116" s="17"/>
      <c r="AU116" s="17"/>
      <c r="AV116" s="17"/>
      <c r="AW116" s="17">
        <v>10000</v>
      </c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</row>
    <row r="117" spans="1:107" ht="14.25" hidden="1" customHeight="1" x14ac:dyDescent="0.3">
      <c r="A117" s="27">
        <v>74</v>
      </c>
      <c r="B117" s="6" t="s">
        <v>202</v>
      </c>
      <c r="C117" s="6" t="s">
        <v>142</v>
      </c>
      <c r="D117" s="11">
        <v>201571</v>
      </c>
      <c r="E117" s="27">
        <v>10</v>
      </c>
      <c r="F117" s="6"/>
      <c r="G117" s="6" t="s">
        <v>29</v>
      </c>
      <c r="H117" s="7" t="s">
        <v>26</v>
      </c>
      <c r="I117" s="21">
        <v>180000</v>
      </c>
      <c r="J117" s="18">
        <f t="shared" ref="J117" si="167">IF(H117="T",0,I117-K117)</f>
        <v>0</v>
      </c>
      <c r="K117" s="19">
        <f t="shared" ref="K117" si="168">SUM(L117:DC117)</f>
        <v>180000</v>
      </c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22"/>
      <c r="AQ117" s="17"/>
      <c r="AR117" s="17"/>
      <c r="AS117" s="17"/>
      <c r="AT117" s="17"/>
      <c r="AU117" s="22">
        <v>12000</v>
      </c>
      <c r="AV117" s="17">
        <v>12000</v>
      </c>
      <c r="AW117" s="17">
        <v>12000</v>
      </c>
      <c r="AX117" s="17">
        <v>12000</v>
      </c>
      <c r="AY117" s="17">
        <v>12000</v>
      </c>
      <c r="AZ117" s="17"/>
      <c r="BA117" s="17"/>
      <c r="BB117" s="17">
        <v>12000</v>
      </c>
      <c r="BC117" s="17">
        <v>25000</v>
      </c>
      <c r="BD117" s="17">
        <v>25000</v>
      </c>
      <c r="BE117" s="17">
        <v>25000</v>
      </c>
      <c r="BF117" s="17"/>
      <c r="BG117" s="17"/>
      <c r="BH117" s="17"/>
      <c r="BI117" s="17">
        <v>25000</v>
      </c>
      <c r="BJ117" s="17">
        <v>8000</v>
      </c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</row>
    <row r="118" spans="1:107" ht="14.25" hidden="1" customHeight="1" x14ac:dyDescent="0.3">
      <c r="A118" s="27">
        <v>84</v>
      </c>
      <c r="B118" s="6" t="s">
        <v>203</v>
      </c>
      <c r="C118" s="6" t="s">
        <v>89</v>
      </c>
      <c r="D118" s="11">
        <v>101311</v>
      </c>
      <c r="E118" s="27">
        <v>5</v>
      </c>
      <c r="F118" s="6"/>
      <c r="G118" s="6" t="s">
        <v>29</v>
      </c>
      <c r="H118" s="7" t="s">
        <v>26</v>
      </c>
      <c r="I118" s="21">
        <v>30399</v>
      </c>
      <c r="J118" s="18">
        <f t="shared" ref="J118" si="169">IF(H118="T",0,I118-K118)</f>
        <v>0</v>
      </c>
      <c r="K118" s="19">
        <f t="shared" ref="K118" si="170">SUM(L118:DC118)</f>
        <v>30399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22"/>
      <c r="AQ118" s="17"/>
      <c r="AR118" s="17"/>
      <c r="AS118" s="17"/>
      <c r="AT118" s="17"/>
      <c r="AU118" s="22">
        <v>12000</v>
      </c>
      <c r="AV118" s="17">
        <v>12000</v>
      </c>
      <c r="AW118" s="17">
        <v>6399</v>
      </c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</row>
    <row r="119" spans="1:107" ht="14.25" hidden="1" customHeight="1" x14ac:dyDescent="0.3">
      <c r="A119" s="27"/>
      <c r="B119" s="6" t="s">
        <v>204</v>
      </c>
      <c r="C119" s="6" t="s">
        <v>205</v>
      </c>
      <c r="D119" s="11">
        <v>201521</v>
      </c>
      <c r="E119" s="27"/>
      <c r="F119" s="6"/>
      <c r="G119" s="6" t="s">
        <v>29</v>
      </c>
      <c r="H119" s="7" t="s">
        <v>26</v>
      </c>
      <c r="I119" s="21">
        <v>24000</v>
      </c>
      <c r="J119" s="18">
        <f t="shared" ref="J119" si="171">IF(H119="T",0,I119-K119)</f>
        <v>0</v>
      </c>
      <c r="K119" s="19">
        <f t="shared" ref="K119" si="172">SUM(L119:DC119)</f>
        <v>24000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22"/>
      <c r="AQ119" s="17"/>
      <c r="AR119" s="17"/>
      <c r="AS119" s="17"/>
      <c r="AT119" s="17"/>
      <c r="AU119" s="22"/>
      <c r="AV119" s="17">
        <v>12000</v>
      </c>
      <c r="AW119" s="17">
        <v>12000</v>
      </c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</row>
    <row r="120" spans="1:107" ht="14.25" hidden="1" customHeight="1" x14ac:dyDescent="0.3">
      <c r="A120" s="27"/>
      <c r="B120" s="6" t="s">
        <v>206</v>
      </c>
      <c r="C120" s="6" t="s">
        <v>109</v>
      </c>
      <c r="E120" s="27"/>
      <c r="F120" s="6"/>
      <c r="G120" s="6" t="s">
        <v>29</v>
      </c>
      <c r="H120" s="7" t="s">
        <v>26</v>
      </c>
      <c r="I120" s="21"/>
      <c r="J120" s="18"/>
      <c r="K120" s="19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22"/>
      <c r="AQ120" s="17"/>
      <c r="AR120" s="17"/>
      <c r="AS120" s="17"/>
      <c r="AT120" s="17"/>
      <c r="AU120" s="22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</row>
    <row r="121" spans="1:107" ht="14.25" hidden="1" customHeight="1" x14ac:dyDescent="0.3">
      <c r="A121" s="27"/>
      <c r="B121" s="6" t="s">
        <v>207</v>
      </c>
      <c r="C121" s="6" t="s">
        <v>110</v>
      </c>
      <c r="D121" s="6">
        <v>200731</v>
      </c>
      <c r="E121" s="27"/>
      <c r="F121" s="27"/>
      <c r="G121" s="6" t="s">
        <v>25</v>
      </c>
      <c r="H121" s="7" t="s">
        <v>44</v>
      </c>
      <c r="I121" s="21">
        <v>20000</v>
      </c>
      <c r="J121" s="18">
        <f t="shared" si="128"/>
        <v>0</v>
      </c>
      <c r="K121" s="19">
        <f t="shared" si="130"/>
        <v>20000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>
        <v>20000</v>
      </c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</row>
    <row r="122" spans="1:107" ht="14.25" hidden="1" customHeight="1" x14ac:dyDescent="0.3">
      <c r="A122" s="27"/>
      <c r="B122" s="6"/>
      <c r="C122" s="6"/>
      <c r="D122" s="6"/>
      <c r="E122" s="27"/>
      <c r="F122" s="6"/>
      <c r="G122" s="6"/>
      <c r="H122" s="7"/>
      <c r="I122" s="16"/>
      <c r="J122" s="18">
        <f>IF(H122="T",0,I122-K122)</f>
        <v>0</v>
      </c>
      <c r="K122" s="19">
        <f t="shared" ref="K122:K123" si="173">SUM(L122:DC122)</f>
        <v>0</v>
      </c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22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</row>
    <row r="123" spans="1:107" ht="14.25" hidden="1" customHeight="1" x14ac:dyDescent="0.3">
      <c r="A123" s="27"/>
      <c r="B123" s="6"/>
      <c r="C123" s="6"/>
      <c r="D123" s="6"/>
      <c r="E123" s="27"/>
      <c r="F123" s="6"/>
      <c r="G123" s="6"/>
      <c r="H123" s="7"/>
      <c r="I123" s="16"/>
      <c r="J123" s="18">
        <f>IF(H123="T",0,I123-K123)</f>
        <v>0</v>
      </c>
      <c r="K123" s="19">
        <f t="shared" si="173"/>
        <v>0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22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</row>
    <row r="124" spans="1:107" ht="14.25" customHeight="1" x14ac:dyDescent="0.3">
      <c r="J124" s="11">
        <f>SUM(J6:J123)</f>
        <v>15161195</v>
      </c>
      <c r="K124" s="11">
        <f>SUM(K6:K123)</f>
        <v>30462426</v>
      </c>
    </row>
    <row r="125" spans="1:107" ht="14.25" customHeight="1" x14ac:dyDescent="0.3"/>
  </sheetData>
  <autoFilter ref="A5:DC123" xr:uid="{00000000-0009-0000-0000-000000000000}">
    <filterColumn colId="4">
      <filters>
        <filter val="3"/>
      </filters>
    </filterColumn>
    <filterColumn colId="7">
      <filters blank="1">
        <filter val="VG"/>
      </filters>
    </filterColumn>
    <filterColumn colId="10">
      <filters blank="1">
        <filter val="10000"/>
        <filter val="1019060"/>
        <filter val="103290"/>
        <filter val="1050000"/>
        <filter val="10600"/>
        <filter val="108000"/>
        <filter val="12000"/>
        <filter val="120860"/>
        <filter val="1275000"/>
        <filter val="1305110"/>
        <filter val="1402220"/>
        <filter val="147000"/>
        <filter val="150000"/>
        <filter val="161500"/>
        <filter val="1628210"/>
        <filter val="163500"/>
        <filter val="170500"/>
        <filter val="1712620"/>
        <filter val="180000"/>
        <filter val="191250"/>
        <filter val="199200"/>
        <filter val="200000"/>
        <filter val="200788"/>
        <filter val="206000"/>
        <filter val="212000"/>
        <filter val="24000"/>
        <filter val="253630"/>
        <filter val="256900"/>
        <filter val="26042"/>
        <filter val="28000"/>
        <filter val="30399"/>
        <filter val="33000"/>
        <filter val="34020"/>
        <filter val="366000"/>
        <filter val="380160"/>
        <filter val="3824740"/>
        <filter val="42816"/>
        <filter val="450000"/>
        <filter val="457800"/>
        <filter val="45805"/>
        <filter val="46800"/>
        <filter val="48000"/>
        <filter val="492000"/>
        <filter val="506760"/>
        <filter val="507720"/>
        <filter val="597000"/>
        <filter val="61250"/>
        <filter val="663136"/>
        <filter val="700000"/>
        <filter val="712080"/>
        <filter val="743000"/>
        <filter val="804060"/>
        <filter val="824640"/>
        <filter val="827400"/>
        <filter val="84000"/>
        <filter val="84253"/>
        <filter val="926275"/>
        <filter val="979730"/>
        <filter val="98400"/>
      </filters>
    </filterColumn>
    <filterColumn colId="46">
      <filters>
        <filter val="100000"/>
        <filter val="12000"/>
        <filter val="125000"/>
        <filter val="24000"/>
        <filter val="25000"/>
        <filter val="36000"/>
        <filter val="50000"/>
        <filter val="60000"/>
        <filter val="75000"/>
      </filters>
    </filterColumn>
    <sortState xmlns:xlrd2="http://schemas.microsoft.com/office/spreadsheetml/2017/richdata2" ref="A8:DH160">
      <sortCondition descending="1" ref="B5:B169"/>
    </sortState>
  </autoFilter>
  <mergeCells count="1">
    <mergeCell ref="A3:G3"/>
  </mergeCells>
  <printOptions horizontalCentered="1"/>
  <pageMargins left="0" right="0.59055118110236227" top="0.59055118110236227" bottom="0" header="0" footer="0"/>
  <pageSetup scale="65" orientation="landscape" r:id="rId1"/>
  <customProperties>
    <customPr name="_pios_id" r:id="rId2"/>
  </customProperties>
  <ignoredErrors>
    <ignoredError sqref="D95" numberStoredAsText="1"/>
  </ignoredError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EAFE-2447-4DE3-B0C1-58E3FA2D68F9}">
  <sheetPr filterMode="1">
    <pageSetUpPr fitToPage="1"/>
  </sheetPr>
  <dimension ref="A1:J57"/>
  <sheetViews>
    <sheetView workbookViewId="0">
      <pane xSplit="2" ySplit="4" topLeftCell="C26" activePane="bottomRight" state="frozen"/>
      <selection pane="topRight"/>
      <selection pane="bottomLeft"/>
      <selection pane="bottomRight" activeCell="D38" sqref="D38"/>
    </sheetView>
  </sheetViews>
  <sheetFormatPr baseColWidth="10" defaultColWidth="8.88671875" defaultRowHeight="14.4" x14ac:dyDescent="0.3"/>
  <cols>
    <col min="2" max="2" width="7.5546875" bestFit="1" customWidth="1"/>
    <col min="3" max="3" width="35.88671875" bestFit="1" customWidth="1"/>
    <col min="4" max="4" width="35.6640625" bestFit="1" customWidth="1"/>
    <col min="5" max="5" width="7.44140625" bestFit="1" customWidth="1"/>
    <col min="6" max="6" width="7.5546875" bestFit="1" customWidth="1"/>
    <col min="7" max="7" width="9" bestFit="1" customWidth="1"/>
    <col min="8" max="8" width="9.44140625" bestFit="1" customWidth="1"/>
    <col min="9" max="9" width="10.6640625" bestFit="1" customWidth="1"/>
  </cols>
  <sheetData>
    <row r="1" spans="1:10" x14ac:dyDescent="0.3">
      <c r="B1" s="24"/>
      <c r="C1" s="11"/>
      <c r="D1" s="11"/>
      <c r="E1" s="11"/>
      <c r="F1" s="24"/>
      <c r="G1" s="24"/>
      <c r="H1" s="11"/>
      <c r="I1" s="11"/>
    </row>
    <row r="2" spans="1:10" ht="15.6" x14ac:dyDescent="0.3">
      <c r="B2" s="28"/>
      <c r="C2" s="78" t="s">
        <v>2</v>
      </c>
      <c r="D2" s="79"/>
      <c r="E2" s="79"/>
      <c r="F2" s="79"/>
      <c r="G2" s="79"/>
      <c r="H2" s="79"/>
      <c r="I2" s="23"/>
    </row>
    <row r="3" spans="1:10" ht="15.6" x14ac:dyDescent="0.3">
      <c r="B3" s="28"/>
      <c r="C3" s="56"/>
      <c r="D3" s="57"/>
      <c r="E3" s="57"/>
      <c r="F3" s="57"/>
      <c r="G3" s="57"/>
      <c r="H3" s="57"/>
      <c r="I3" s="23"/>
    </row>
    <row r="4" spans="1:10" ht="27.6" x14ac:dyDescent="0.3">
      <c r="A4" s="5" t="s">
        <v>4</v>
      </c>
      <c r="B4" s="5" t="s">
        <v>12</v>
      </c>
      <c r="C4" s="5" t="s">
        <v>13</v>
      </c>
      <c r="D4" s="51" t="s">
        <v>14</v>
      </c>
      <c r="E4" s="46" t="s">
        <v>15</v>
      </c>
      <c r="F4" s="46" t="s">
        <v>16</v>
      </c>
      <c r="G4" s="36" t="s">
        <v>17</v>
      </c>
      <c r="H4" s="36" t="s">
        <v>18</v>
      </c>
      <c r="I4" s="37" t="s">
        <v>208</v>
      </c>
    </row>
    <row r="5" spans="1:10" hidden="1" x14ac:dyDescent="0.3">
      <c r="A5" s="42">
        <v>45366</v>
      </c>
      <c r="B5" s="27">
        <v>698</v>
      </c>
      <c r="C5" s="6" t="s">
        <v>27</v>
      </c>
      <c r="D5" s="48" t="s">
        <v>28</v>
      </c>
      <c r="E5" s="49">
        <v>101931</v>
      </c>
      <c r="F5" s="43">
        <v>1</v>
      </c>
      <c r="G5" s="45"/>
      <c r="H5" s="6" t="s">
        <v>29</v>
      </c>
      <c r="I5" s="22">
        <v>50000</v>
      </c>
    </row>
    <row r="6" spans="1:10" hidden="1" x14ac:dyDescent="0.3">
      <c r="A6" s="42">
        <v>45366</v>
      </c>
      <c r="B6" s="27">
        <v>697</v>
      </c>
      <c r="C6" s="6" t="s">
        <v>32</v>
      </c>
      <c r="D6" s="50" t="s">
        <v>28</v>
      </c>
      <c r="E6" s="6">
        <v>101931</v>
      </c>
      <c r="F6" s="44">
        <v>1</v>
      </c>
      <c r="G6" s="45"/>
      <c r="H6" s="6" t="s">
        <v>29</v>
      </c>
      <c r="I6" s="22">
        <v>25000</v>
      </c>
    </row>
    <row r="7" spans="1:10" hidden="1" x14ac:dyDescent="0.3">
      <c r="A7" s="42">
        <v>45366</v>
      </c>
      <c r="B7" s="27">
        <v>673</v>
      </c>
      <c r="C7" s="6" t="s">
        <v>71</v>
      </c>
      <c r="D7" s="52" t="s">
        <v>28</v>
      </c>
      <c r="E7" s="6">
        <v>101931</v>
      </c>
      <c r="F7" s="44">
        <v>1</v>
      </c>
      <c r="G7" s="45"/>
      <c r="H7" s="6" t="s">
        <v>29</v>
      </c>
      <c r="I7" s="22">
        <v>60000</v>
      </c>
      <c r="J7">
        <f>SUM(I5:I7)</f>
        <v>135000</v>
      </c>
    </row>
    <row r="8" spans="1:10" hidden="1" x14ac:dyDescent="0.3">
      <c r="A8" s="42">
        <v>45366</v>
      </c>
      <c r="B8" s="27">
        <v>667</v>
      </c>
      <c r="C8" s="6" t="s">
        <v>67</v>
      </c>
      <c r="D8" s="48" t="s">
        <v>69</v>
      </c>
      <c r="E8" s="49">
        <v>200591</v>
      </c>
      <c r="F8" s="43">
        <v>2</v>
      </c>
      <c r="G8" s="45"/>
      <c r="H8" s="6" t="s">
        <v>25</v>
      </c>
      <c r="I8" s="22">
        <v>100000</v>
      </c>
      <c r="J8">
        <v>100000</v>
      </c>
    </row>
    <row r="9" spans="1:10" hidden="1" x14ac:dyDescent="0.3">
      <c r="A9" s="42">
        <v>45366</v>
      </c>
      <c r="B9" s="27">
        <v>698</v>
      </c>
      <c r="C9" s="6" t="s">
        <v>27</v>
      </c>
      <c r="D9" s="48" t="s">
        <v>30</v>
      </c>
      <c r="E9" s="49">
        <v>201331</v>
      </c>
      <c r="F9" s="43">
        <v>3</v>
      </c>
      <c r="G9" s="45"/>
      <c r="H9" s="6" t="s">
        <v>25</v>
      </c>
      <c r="I9" s="22">
        <v>100000</v>
      </c>
    </row>
    <row r="10" spans="1:10" hidden="1" x14ac:dyDescent="0.3">
      <c r="A10" s="42">
        <v>45366</v>
      </c>
      <c r="B10" s="27">
        <v>657</v>
      </c>
      <c r="C10" s="6" t="s">
        <v>47</v>
      </c>
      <c r="D10" s="50" t="s">
        <v>45</v>
      </c>
      <c r="E10" s="6">
        <v>200441</v>
      </c>
      <c r="F10" s="44">
        <v>3</v>
      </c>
      <c r="G10" s="45"/>
      <c r="H10" s="6" t="s">
        <v>29</v>
      </c>
      <c r="I10" s="22">
        <v>100000</v>
      </c>
      <c r="J10">
        <v>200000</v>
      </c>
    </row>
    <row r="11" spans="1:10" hidden="1" x14ac:dyDescent="0.3">
      <c r="A11" s="42">
        <v>45366</v>
      </c>
      <c r="B11" s="27">
        <v>685</v>
      </c>
      <c r="C11" s="6" t="s">
        <v>74</v>
      </c>
      <c r="D11" s="48" t="s">
        <v>77</v>
      </c>
      <c r="E11" s="49">
        <v>260631</v>
      </c>
      <c r="F11" s="43">
        <v>4</v>
      </c>
      <c r="G11" s="47"/>
      <c r="H11" s="6" t="s">
        <v>25</v>
      </c>
      <c r="I11" s="22">
        <v>50000</v>
      </c>
    </row>
    <row r="12" spans="1:10" hidden="1" x14ac:dyDescent="0.3">
      <c r="A12" s="42">
        <v>45366</v>
      </c>
      <c r="B12" s="27" t="s">
        <v>171</v>
      </c>
      <c r="C12" s="6" t="s">
        <v>172</v>
      </c>
      <c r="D12" s="50" t="s">
        <v>173</v>
      </c>
      <c r="E12" s="33" t="s">
        <v>174</v>
      </c>
      <c r="F12" s="44">
        <v>4</v>
      </c>
      <c r="G12" s="45"/>
      <c r="H12" s="6" t="s">
        <v>29</v>
      </c>
      <c r="I12" s="22">
        <v>12000</v>
      </c>
      <c r="J12">
        <v>62000</v>
      </c>
    </row>
    <row r="13" spans="1:10" hidden="1" x14ac:dyDescent="0.3">
      <c r="A13" s="42">
        <v>45366</v>
      </c>
      <c r="B13" s="27">
        <v>663</v>
      </c>
      <c r="C13" s="6" t="s">
        <v>54</v>
      </c>
      <c r="D13" s="48" t="s">
        <v>43</v>
      </c>
      <c r="E13" s="49">
        <v>100431</v>
      </c>
      <c r="F13" s="43">
        <v>5</v>
      </c>
      <c r="G13" s="45"/>
      <c r="H13" s="6" t="s">
        <v>25</v>
      </c>
      <c r="I13" s="22">
        <v>100000</v>
      </c>
    </row>
    <row r="14" spans="1:10" hidden="1" x14ac:dyDescent="0.3">
      <c r="A14" s="42">
        <v>45366</v>
      </c>
      <c r="B14" s="27">
        <v>685</v>
      </c>
      <c r="C14" s="6" t="s">
        <v>74</v>
      </c>
      <c r="D14" s="50" t="s">
        <v>75</v>
      </c>
      <c r="E14" s="6">
        <v>100631</v>
      </c>
      <c r="F14" s="44">
        <v>5</v>
      </c>
      <c r="G14" s="47"/>
      <c r="H14" s="6" t="s">
        <v>29</v>
      </c>
      <c r="I14" s="22">
        <v>100000</v>
      </c>
    </row>
    <row r="15" spans="1:10" hidden="1" x14ac:dyDescent="0.3">
      <c r="A15" s="42">
        <v>45366</v>
      </c>
      <c r="B15" s="27" t="s">
        <v>171</v>
      </c>
      <c r="C15" s="6" t="s">
        <v>172</v>
      </c>
      <c r="D15" s="50" t="s">
        <v>89</v>
      </c>
      <c r="E15" s="6">
        <v>101311</v>
      </c>
      <c r="F15" s="44">
        <v>5</v>
      </c>
      <c r="G15" s="45"/>
      <c r="H15" s="6" t="s">
        <v>25</v>
      </c>
      <c r="I15" s="22">
        <v>12000</v>
      </c>
    </row>
    <row r="16" spans="1:10" hidden="1" x14ac:dyDescent="0.3">
      <c r="A16" s="42">
        <v>45366</v>
      </c>
      <c r="B16" s="27">
        <v>98</v>
      </c>
      <c r="C16" s="6" t="s">
        <v>181</v>
      </c>
      <c r="D16" s="50" t="s">
        <v>182</v>
      </c>
      <c r="E16" s="6">
        <v>100621</v>
      </c>
      <c r="F16" s="44">
        <v>5</v>
      </c>
      <c r="G16" s="45"/>
      <c r="H16" s="6" t="s">
        <v>29</v>
      </c>
      <c r="I16" s="22">
        <v>25000</v>
      </c>
      <c r="J16">
        <f>SUM(I13:I16)</f>
        <v>237000</v>
      </c>
    </row>
    <row r="17" spans="1:10" hidden="1" x14ac:dyDescent="0.3">
      <c r="A17" s="42">
        <v>45366</v>
      </c>
      <c r="B17" s="27">
        <v>692</v>
      </c>
      <c r="C17" s="6" t="s">
        <v>79</v>
      </c>
      <c r="D17" s="48" t="s">
        <v>81</v>
      </c>
      <c r="E17" s="49">
        <v>201921</v>
      </c>
      <c r="F17" s="43">
        <v>6</v>
      </c>
      <c r="G17" s="45"/>
      <c r="H17" s="6" t="s">
        <v>25</v>
      </c>
      <c r="I17" s="22">
        <v>100000</v>
      </c>
    </row>
    <row r="18" spans="1:10" hidden="1" x14ac:dyDescent="0.3">
      <c r="A18" s="42">
        <v>45366</v>
      </c>
      <c r="B18" s="27" t="s">
        <v>132</v>
      </c>
      <c r="C18" s="6" t="s">
        <v>133</v>
      </c>
      <c r="D18" s="50" t="s">
        <v>81</v>
      </c>
      <c r="E18" s="6">
        <v>201921</v>
      </c>
      <c r="F18" s="44">
        <v>6</v>
      </c>
      <c r="G18" s="47"/>
      <c r="H18" s="6" t="s">
        <v>25</v>
      </c>
      <c r="I18" s="22">
        <v>50000</v>
      </c>
      <c r="J18">
        <v>150000</v>
      </c>
    </row>
    <row r="19" spans="1:10" hidden="1" x14ac:dyDescent="0.3">
      <c r="A19" s="42">
        <v>45366</v>
      </c>
      <c r="B19" s="27">
        <v>682</v>
      </c>
      <c r="C19" s="6" t="s">
        <v>82</v>
      </c>
      <c r="D19" s="48" t="s">
        <v>83</v>
      </c>
      <c r="E19" s="49">
        <v>200591</v>
      </c>
      <c r="F19" s="43">
        <v>7</v>
      </c>
      <c r="G19" s="45"/>
      <c r="H19" s="6" t="s">
        <v>25</v>
      </c>
      <c r="I19" s="22">
        <v>150000</v>
      </c>
    </row>
    <row r="20" spans="1:10" hidden="1" x14ac:dyDescent="0.3">
      <c r="A20" s="42">
        <v>45366</v>
      </c>
      <c r="B20" s="27">
        <v>78</v>
      </c>
      <c r="C20" s="6" t="s">
        <v>183</v>
      </c>
      <c r="D20" s="50" t="s">
        <v>142</v>
      </c>
      <c r="E20" s="6">
        <v>201571</v>
      </c>
      <c r="F20" s="44">
        <v>7</v>
      </c>
      <c r="G20" s="45"/>
      <c r="H20" s="6" t="s">
        <v>29</v>
      </c>
      <c r="I20" s="22">
        <v>12000</v>
      </c>
      <c r="J20">
        <v>162000</v>
      </c>
    </row>
    <row r="21" spans="1:10" hidden="1" x14ac:dyDescent="0.3">
      <c r="A21" s="42">
        <v>45366</v>
      </c>
      <c r="B21" s="27">
        <v>668</v>
      </c>
      <c r="C21" s="6" t="s">
        <v>40</v>
      </c>
      <c r="D21" s="48" t="s">
        <v>41</v>
      </c>
      <c r="E21" s="49">
        <v>201861</v>
      </c>
      <c r="F21" s="43">
        <v>9</v>
      </c>
      <c r="G21" s="45"/>
      <c r="H21" s="6" t="s">
        <v>25</v>
      </c>
      <c r="I21" s="22">
        <v>50000</v>
      </c>
    </row>
    <row r="22" spans="1:10" hidden="1" x14ac:dyDescent="0.3">
      <c r="A22" s="42">
        <v>45366</v>
      </c>
      <c r="B22" s="27" t="s">
        <v>105</v>
      </c>
      <c r="C22" s="6" t="s">
        <v>106</v>
      </c>
      <c r="D22" s="50" t="s">
        <v>41</v>
      </c>
      <c r="E22" s="6">
        <v>201861</v>
      </c>
      <c r="F22" s="44">
        <v>9</v>
      </c>
      <c r="G22" s="45"/>
      <c r="H22" s="6" t="s">
        <v>25</v>
      </c>
      <c r="I22" s="22">
        <v>25000</v>
      </c>
    </row>
    <row r="23" spans="1:10" hidden="1" x14ac:dyDescent="0.3">
      <c r="A23" s="42">
        <v>45366</v>
      </c>
      <c r="B23" s="27" t="s">
        <v>155</v>
      </c>
      <c r="C23" s="6" t="s">
        <v>154</v>
      </c>
      <c r="D23" s="50" t="s">
        <v>99</v>
      </c>
      <c r="E23" s="6">
        <v>202331</v>
      </c>
      <c r="F23" s="44">
        <v>9</v>
      </c>
      <c r="G23" s="47"/>
      <c r="H23" s="6" t="s">
        <v>25</v>
      </c>
      <c r="I23" s="22">
        <v>75000</v>
      </c>
      <c r="J23">
        <f>SUM(I21:I23)</f>
        <v>150000</v>
      </c>
    </row>
    <row r="24" spans="1:10" hidden="1" x14ac:dyDescent="0.3">
      <c r="A24" s="64">
        <v>45366</v>
      </c>
      <c r="B24" s="27" t="s">
        <v>137</v>
      </c>
      <c r="C24" s="6" t="s">
        <v>138</v>
      </c>
      <c r="D24" s="48" t="s">
        <v>139</v>
      </c>
      <c r="E24" s="54">
        <v>200631</v>
      </c>
      <c r="F24" s="43">
        <v>10</v>
      </c>
      <c r="G24" s="45"/>
      <c r="H24" s="6" t="s">
        <v>29</v>
      </c>
      <c r="I24" s="65">
        <v>50000</v>
      </c>
    </row>
    <row r="25" spans="1:10" hidden="1" x14ac:dyDescent="0.3">
      <c r="A25" s="58">
        <v>45366</v>
      </c>
      <c r="B25" s="59" t="s">
        <v>175</v>
      </c>
      <c r="C25" s="72" t="s">
        <v>176</v>
      </c>
      <c r="D25" s="73" t="s">
        <v>136</v>
      </c>
      <c r="E25" s="74">
        <v>201491</v>
      </c>
      <c r="F25" s="75">
        <v>10</v>
      </c>
      <c r="G25" s="61"/>
      <c r="H25" s="60" t="s">
        <v>25</v>
      </c>
      <c r="I25" s="62">
        <v>24000</v>
      </c>
      <c r="J25" s="63">
        <v>74000</v>
      </c>
    </row>
    <row r="26" spans="1:10" x14ac:dyDescent="0.3">
      <c r="A26" s="58">
        <v>45369</v>
      </c>
      <c r="B26" s="66">
        <v>698</v>
      </c>
      <c r="C26" s="48" t="s">
        <v>27</v>
      </c>
      <c r="D26" s="49" t="s">
        <v>28</v>
      </c>
      <c r="E26" s="49">
        <v>101931</v>
      </c>
      <c r="F26" s="69">
        <v>1</v>
      </c>
      <c r="G26" s="11"/>
      <c r="H26" s="67" t="s">
        <v>29</v>
      </c>
      <c r="I26" s="68">
        <v>36000</v>
      </c>
    </row>
    <row r="27" spans="1:10" x14ac:dyDescent="0.3">
      <c r="A27" s="58">
        <v>45369</v>
      </c>
      <c r="B27" s="27">
        <v>697</v>
      </c>
      <c r="C27" s="50" t="s">
        <v>32</v>
      </c>
      <c r="D27" s="6" t="s">
        <v>28</v>
      </c>
      <c r="E27" s="6">
        <v>101931</v>
      </c>
      <c r="F27" s="76">
        <v>1</v>
      </c>
      <c r="G27" s="45"/>
      <c r="H27" s="6" t="s">
        <v>29</v>
      </c>
      <c r="I27" s="22">
        <v>25000</v>
      </c>
    </row>
    <row r="28" spans="1:10" x14ac:dyDescent="0.3">
      <c r="A28" s="58">
        <v>45369</v>
      </c>
      <c r="B28" s="27">
        <v>673</v>
      </c>
      <c r="C28" s="53" t="s">
        <v>71</v>
      </c>
      <c r="D28" s="77" t="s">
        <v>28</v>
      </c>
      <c r="E28" s="70">
        <v>101931</v>
      </c>
      <c r="F28" s="71">
        <v>1</v>
      </c>
      <c r="G28" s="45"/>
      <c r="H28" s="6" t="s">
        <v>29</v>
      </c>
      <c r="I28" s="22">
        <v>60000</v>
      </c>
      <c r="J28">
        <f>SUM(I26:I28)</f>
        <v>121000</v>
      </c>
    </row>
    <row r="29" spans="1:10" x14ac:dyDescent="0.3">
      <c r="A29" s="58">
        <v>45369</v>
      </c>
      <c r="B29" s="27">
        <v>667</v>
      </c>
      <c r="C29" s="67" t="s">
        <v>67</v>
      </c>
      <c r="D29" s="67" t="s">
        <v>69</v>
      </c>
      <c r="E29" s="67">
        <v>200591</v>
      </c>
      <c r="F29" s="66">
        <v>2</v>
      </c>
      <c r="G29" s="6"/>
      <c r="H29" s="6" t="s">
        <v>25</v>
      </c>
      <c r="I29" s="22">
        <v>100000</v>
      </c>
      <c r="J29">
        <v>100000</v>
      </c>
    </row>
    <row r="30" spans="1:10" x14ac:dyDescent="0.3">
      <c r="A30" s="58">
        <v>45369</v>
      </c>
      <c r="B30" s="27">
        <v>698</v>
      </c>
      <c r="C30" s="48" t="s">
        <v>27</v>
      </c>
      <c r="D30" s="49" t="s">
        <v>30</v>
      </c>
      <c r="E30" s="49">
        <v>201331</v>
      </c>
      <c r="F30" s="69">
        <v>3</v>
      </c>
      <c r="G30" s="45"/>
      <c r="H30" s="6" t="s">
        <v>25</v>
      </c>
      <c r="I30" s="22">
        <v>100000</v>
      </c>
    </row>
    <row r="31" spans="1:10" x14ac:dyDescent="0.3">
      <c r="A31" s="58">
        <v>45369</v>
      </c>
      <c r="B31" s="27">
        <v>657</v>
      </c>
      <c r="C31" s="53" t="s">
        <v>47</v>
      </c>
      <c r="D31" s="70" t="s">
        <v>45</v>
      </c>
      <c r="E31" s="70">
        <v>200441</v>
      </c>
      <c r="F31" s="71">
        <v>3</v>
      </c>
      <c r="G31" s="45"/>
      <c r="H31" s="6" t="s">
        <v>29</v>
      </c>
      <c r="I31" s="22">
        <v>50000</v>
      </c>
      <c r="J31">
        <v>150000</v>
      </c>
    </row>
    <row r="32" spans="1:10" x14ac:dyDescent="0.3">
      <c r="A32" s="58">
        <v>45369</v>
      </c>
      <c r="B32" s="27">
        <v>685</v>
      </c>
      <c r="C32" s="67" t="s">
        <v>74</v>
      </c>
      <c r="D32" s="67" t="s">
        <v>77</v>
      </c>
      <c r="E32" s="67">
        <v>260631</v>
      </c>
      <c r="F32" s="66">
        <v>4</v>
      </c>
      <c r="G32" s="27"/>
      <c r="H32" s="6" t="s">
        <v>25</v>
      </c>
      <c r="I32" s="22">
        <v>100000</v>
      </c>
      <c r="J32">
        <v>100000</v>
      </c>
    </row>
    <row r="33" spans="1:10" x14ac:dyDescent="0.3">
      <c r="A33" s="58">
        <v>45369</v>
      </c>
      <c r="B33" s="27">
        <v>663</v>
      </c>
      <c r="C33" s="48" t="s">
        <v>54</v>
      </c>
      <c r="D33" s="49" t="s">
        <v>43</v>
      </c>
      <c r="E33" s="49">
        <v>100431</v>
      </c>
      <c r="F33" s="69">
        <v>5</v>
      </c>
      <c r="G33" s="45"/>
      <c r="H33" s="6" t="s">
        <v>25</v>
      </c>
      <c r="I33" s="22">
        <v>75000</v>
      </c>
    </row>
    <row r="34" spans="1:10" x14ac:dyDescent="0.3">
      <c r="A34" s="58">
        <v>45369</v>
      </c>
      <c r="B34" s="27">
        <v>685</v>
      </c>
      <c r="C34" s="50" t="s">
        <v>74</v>
      </c>
      <c r="D34" s="6" t="s">
        <v>75</v>
      </c>
      <c r="E34" s="6">
        <v>100631</v>
      </c>
      <c r="F34" s="76">
        <v>5</v>
      </c>
      <c r="G34" s="47"/>
      <c r="H34" s="6" t="s">
        <v>29</v>
      </c>
      <c r="I34" s="22">
        <v>100000</v>
      </c>
    </row>
    <row r="35" spans="1:10" x14ac:dyDescent="0.3">
      <c r="A35" s="58">
        <v>45369</v>
      </c>
      <c r="B35" s="27" t="s">
        <v>127</v>
      </c>
      <c r="C35" s="50" t="s">
        <v>128</v>
      </c>
      <c r="D35" s="6" t="s">
        <v>43</v>
      </c>
      <c r="E35" s="6">
        <v>100431</v>
      </c>
      <c r="F35" s="76">
        <v>5</v>
      </c>
      <c r="G35" s="45"/>
      <c r="H35" s="6" t="s">
        <v>29</v>
      </c>
      <c r="I35" s="22">
        <v>12000</v>
      </c>
    </row>
    <row r="36" spans="1:10" x14ac:dyDescent="0.3">
      <c r="A36" s="58">
        <v>45369</v>
      </c>
      <c r="B36" s="27" t="s">
        <v>159</v>
      </c>
      <c r="C36" s="50" t="s">
        <v>160</v>
      </c>
      <c r="D36" s="6" t="s">
        <v>161</v>
      </c>
      <c r="E36" s="6">
        <v>101321</v>
      </c>
      <c r="F36" s="76">
        <v>5</v>
      </c>
      <c r="G36" s="47"/>
      <c r="H36" s="6" t="s">
        <v>29</v>
      </c>
      <c r="I36" s="22">
        <v>24000</v>
      </c>
    </row>
    <row r="37" spans="1:10" x14ac:dyDescent="0.3">
      <c r="A37" s="58">
        <v>45369</v>
      </c>
      <c r="B37" s="27" t="s">
        <v>171</v>
      </c>
      <c r="C37" s="50" t="s">
        <v>172</v>
      </c>
      <c r="D37" s="6" t="s">
        <v>89</v>
      </c>
      <c r="E37" s="6">
        <v>101311</v>
      </c>
      <c r="F37" s="76">
        <v>5</v>
      </c>
      <c r="G37" s="45"/>
      <c r="H37" s="6" t="s">
        <v>25</v>
      </c>
      <c r="I37" s="22">
        <v>25000</v>
      </c>
    </row>
    <row r="38" spans="1:10" x14ac:dyDescent="0.3">
      <c r="A38" s="58">
        <v>45369</v>
      </c>
      <c r="B38" s="27">
        <v>98</v>
      </c>
      <c r="C38" s="50" t="s">
        <v>181</v>
      </c>
      <c r="D38" s="6" t="s">
        <v>182</v>
      </c>
      <c r="E38" s="6">
        <v>100621</v>
      </c>
      <c r="F38" s="76">
        <v>5</v>
      </c>
      <c r="G38" s="45"/>
      <c r="H38" s="6" t="s">
        <v>29</v>
      </c>
      <c r="I38" s="22">
        <v>25000</v>
      </c>
    </row>
    <row r="39" spans="1:10" x14ac:dyDescent="0.3">
      <c r="A39" s="58">
        <v>45369</v>
      </c>
      <c r="B39" s="27">
        <v>50</v>
      </c>
      <c r="C39" s="50" t="s">
        <v>187</v>
      </c>
      <c r="D39" s="6" t="s">
        <v>89</v>
      </c>
      <c r="E39" s="6">
        <v>101311</v>
      </c>
      <c r="F39" s="76">
        <v>5</v>
      </c>
      <c r="G39" s="45"/>
      <c r="H39" s="6" t="s">
        <v>29</v>
      </c>
      <c r="I39" s="22">
        <v>25000</v>
      </c>
    </row>
    <row r="40" spans="1:10" x14ac:dyDescent="0.3">
      <c r="A40" s="58">
        <v>45369</v>
      </c>
      <c r="B40" s="27">
        <v>84</v>
      </c>
      <c r="C40" s="50" t="s">
        <v>203</v>
      </c>
      <c r="D40" s="6" t="s">
        <v>89</v>
      </c>
      <c r="E40" s="6">
        <v>101311</v>
      </c>
      <c r="F40" s="76">
        <v>5</v>
      </c>
      <c r="G40" s="45"/>
      <c r="H40" s="6" t="s">
        <v>29</v>
      </c>
      <c r="I40" s="22">
        <v>12000</v>
      </c>
      <c r="J40">
        <f>SUM(I33:I40)</f>
        <v>298000</v>
      </c>
    </row>
    <row r="41" spans="1:10" x14ac:dyDescent="0.3">
      <c r="A41" s="58">
        <v>45369</v>
      </c>
      <c r="B41" s="27">
        <v>692</v>
      </c>
      <c r="C41" s="48" t="s">
        <v>79</v>
      </c>
      <c r="D41" s="49" t="s">
        <v>81</v>
      </c>
      <c r="E41" s="49">
        <v>201921</v>
      </c>
      <c r="F41" s="69">
        <v>6</v>
      </c>
      <c r="G41" s="45"/>
      <c r="H41" s="6" t="s">
        <v>25</v>
      </c>
      <c r="I41" s="22">
        <v>125000</v>
      </c>
    </row>
    <row r="42" spans="1:10" x14ac:dyDescent="0.3">
      <c r="A42" s="58">
        <v>45369</v>
      </c>
      <c r="B42" s="27" t="s">
        <v>132</v>
      </c>
      <c r="C42" s="50" t="s">
        <v>133</v>
      </c>
      <c r="D42" s="6" t="s">
        <v>81</v>
      </c>
      <c r="E42" s="6">
        <v>201921</v>
      </c>
      <c r="F42" s="76">
        <v>6</v>
      </c>
      <c r="G42" s="47"/>
      <c r="H42" s="6" t="s">
        <v>25</v>
      </c>
      <c r="I42" s="22">
        <v>75000</v>
      </c>
      <c r="J42">
        <f>SUM(I41:I42)</f>
        <v>200000</v>
      </c>
    </row>
    <row r="43" spans="1:10" x14ac:dyDescent="0.3">
      <c r="A43" s="58">
        <v>45369</v>
      </c>
      <c r="B43" s="27">
        <v>682</v>
      </c>
      <c r="C43" s="48" t="s">
        <v>82</v>
      </c>
      <c r="D43" s="49" t="s">
        <v>83</v>
      </c>
      <c r="E43" s="49">
        <v>200591</v>
      </c>
      <c r="F43" s="69">
        <v>7</v>
      </c>
      <c r="G43" s="45"/>
      <c r="H43" s="6" t="s">
        <v>25</v>
      </c>
      <c r="I43" s="22">
        <v>100000</v>
      </c>
    </row>
    <row r="44" spans="1:10" x14ac:dyDescent="0.3">
      <c r="A44" s="58">
        <v>45369</v>
      </c>
      <c r="B44" s="27" t="s">
        <v>100</v>
      </c>
      <c r="C44" s="50" t="s">
        <v>101</v>
      </c>
      <c r="D44" s="6" t="s">
        <v>69</v>
      </c>
      <c r="E44" s="6">
        <v>200591</v>
      </c>
      <c r="F44" s="76">
        <v>7</v>
      </c>
      <c r="G44" s="45"/>
      <c r="H44" s="6" t="s">
        <v>25</v>
      </c>
      <c r="I44" s="22">
        <v>100000</v>
      </c>
    </row>
    <row r="45" spans="1:10" x14ac:dyDescent="0.3">
      <c r="A45" s="58">
        <v>45369</v>
      </c>
      <c r="B45" s="27" t="s">
        <v>169</v>
      </c>
      <c r="C45" s="50" t="s">
        <v>170</v>
      </c>
      <c r="D45" s="6" t="s">
        <v>69</v>
      </c>
      <c r="E45" s="6">
        <v>200591</v>
      </c>
      <c r="F45" s="76">
        <v>7</v>
      </c>
      <c r="G45" s="45"/>
      <c r="H45" s="6" t="s">
        <v>25</v>
      </c>
      <c r="I45" s="22">
        <v>50000</v>
      </c>
    </row>
    <row r="46" spans="1:10" x14ac:dyDescent="0.3">
      <c r="A46" s="58">
        <v>45369</v>
      </c>
      <c r="B46" s="27" t="s">
        <v>169</v>
      </c>
      <c r="C46" s="50" t="s">
        <v>170</v>
      </c>
      <c r="D46" s="6" t="s">
        <v>102</v>
      </c>
      <c r="E46" s="6">
        <v>201431</v>
      </c>
      <c r="F46" s="76">
        <v>7</v>
      </c>
      <c r="G46" s="45"/>
      <c r="H46" s="6" t="s">
        <v>29</v>
      </c>
      <c r="I46" s="22">
        <v>25000</v>
      </c>
    </row>
    <row r="47" spans="1:10" x14ac:dyDescent="0.3">
      <c r="A47" s="58">
        <v>45369</v>
      </c>
      <c r="B47" s="27">
        <v>61</v>
      </c>
      <c r="C47" s="50" t="s">
        <v>186</v>
      </c>
      <c r="D47" s="6" t="s">
        <v>102</v>
      </c>
      <c r="E47" s="6">
        <v>201431</v>
      </c>
      <c r="F47" s="76">
        <v>7</v>
      </c>
      <c r="G47" s="45"/>
      <c r="H47" s="6" t="s">
        <v>29</v>
      </c>
      <c r="I47" s="22">
        <v>12000</v>
      </c>
    </row>
    <row r="48" spans="1:10" x14ac:dyDescent="0.3">
      <c r="A48" s="58">
        <v>45369</v>
      </c>
      <c r="B48" s="27">
        <v>72</v>
      </c>
      <c r="C48" s="53" t="s">
        <v>198</v>
      </c>
      <c r="D48" s="70" t="s">
        <v>200</v>
      </c>
      <c r="E48" s="70">
        <v>201301</v>
      </c>
      <c r="F48" s="71">
        <v>7</v>
      </c>
      <c r="G48" s="45"/>
      <c r="H48" s="6" t="s">
        <v>25</v>
      </c>
      <c r="I48" s="22">
        <v>12000</v>
      </c>
      <c r="J48">
        <f>SUM(I43:I48)</f>
        <v>299000</v>
      </c>
    </row>
    <row r="49" spans="1:10" x14ac:dyDescent="0.3">
      <c r="A49" s="58">
        <v>45369</v>
      </c>
      <c r="B49" s="27">
        <v>680</v>
      </c>
      <c r="C49" s="67" t="s">
        <v>46</v>
      </c>
      <c r="D49" s="67" t="s">
        <v>28</v>
      </c>
      <c r="E49" s="67">
        <v>101931</v>
      </c>
      <c r="F49" s="66">
        <v>8</v>
      </c>
      <c r="G49" s="6"/>
      <c r="H49" s="6" t="s">
        <v>29</v>
      </c>
      <c r="I49" s="22">
        <v>50000</v>
      </c>
      <c r="J49">
        <v>50000</v>
      </c>
    </row>
    <row r="50" spans="1:10" x14ac:dyDescent="0.3">
      <c r="A50" s="58">
        <v>45369</v>
      </c>
      <c r="B50" s="27">
        <v>668</v>
      </c>
      <c r="C50" s="48" t="s">
        <v>40</v>
      </c>
      <c r="D50" s="49" t="s">
        <v>41</v>
      </c>
      <c r="E50" s="49">
        <v>201861</v>
      </c>
      <c r="F50" s="69">
        <v>9</v>
      </c>
      <c r="G50" s="45"/>
      <c r="H50" s="6" t="s">
        <v>25</v>
      </c>
      <c r="I50" s="22">
        <v>75000</v>
      </c>
    </row>
    <row r="51" spans="1:10" x14ac:dyDescent="0.3">
      <c r="A51" s="58">
        <v>45369</v>
      </c>
      <c r="B51" s="27" t="s">
        <v>155</v>
      </c>
      <c r="C51" s="50" t="s">
        <v>154</v>
      </c>
      <c r="D51" s="6" t="s">
        <v>99</v>
      </c>
      <c r="E51" s="11">
        <v>202331</v>
      </c>
      <c r="F51" s="76">
        <v>9</v>
      </c>
      <c r="G51" s="47"/>
      <c r="H51" s="6" t="s">
        <v>25</v>
      </c>
      <c r="I51" s="22">
        <v>100000</v>
      </c>
      <c r="J51">
        <v>175000</v>
      </c>
    </row>
    <row r="52" spans="1:10" x14ac:dyDescent="0.3">
      <c r="A52" s="58">
        <v>45369</v>
      </c>
      <c r="B52" s="27" t="s">
        <v>137</v>
      </c>
      <c r="C52" s="48" t="s">
        <v>138</v>
      </c>
      <c r="D52" s="49" t="s">
        <v>139</v>
      </c>
      <c r="E52" s="54">
        <v>200631</v>
      </c>
      <c r="F52" s="69">
        <v>10</v>
      </c>
      <c r="G52" s="45"/>
      <c r="H52" s="6" t="s">
        <v>29</v>
      </c>
      <c r="I52" s="22">
        <v>75000</v>
      </c>
    </row>
    <row r="53" spans="1:10" x14ac:dyDescent="0.3">
      <c r="A53" s="58">
        <v>45369</v>
      </c>
      <c r="B53" s="27" t="s">
        <v>175</v>
      </c>
      <c r="C53" s="50" t="s">
        <v>176</v>
      </c>
      <c r="D53" s="6" t="s">
        <v>136</v>
      </c>
      <c r="E53" s="11">
        <v>201491</v>
      </c>
      <c r="F53" s="76">
        <v>10</v>
      </c>
      <c r="G53" s="47"/>
      <c r="H53" s="6" t="s">
        <v>25</v>
      </c>
      <c r="I53" s="22">
        <v>24000</v>
      </c>
    </row>
    <row r="54" spans="1:10" x14ac:dyDescent="0.3">
      <c r="A54" s="58">
        <v>45369</v>
      </c>
      <c r="B54" s="27">
        <v>74</v>
      </c>
      <c r="C54" s="50" t="s">
        <v>202</v>
      </c>
      <c r="D54" s="6" t="s">
        <v>142</v>
      </c>
      <c r="E54" s="11">
        <v>201571</v>
      </c>
      <c r="F54" s="76">
        <v>10</v>
      </c>
      <c r="G54" s="45"/>
      <c r="H54" s="6" t="s">
        <v>29</v>
      </c>
      <c r="I54" s="22">
        <v>12000</v>
      </c>
      <c r="J54">
        <f>SUM(I52:I54)</f>
        <v>111000</v>
      </c>
    </row>
    <row r="55" spans="1:10" x14ac:dyDescent="0.3">
      <c r="A55" s="58">
        <v>45369</v>
      </c>
      <c r="B55" s="27">
        <v>701</v>
      </c>
      <c r="C55" s="48" t="s">
        <v>36</v>
      </c>
      <c r="D55" s="49" t="s">
        <v>39</v>
      </c>
      <c r="E55" s="54">
        <v>202271</v>
      </c>
      <c r="F55" s="69">
        <v>11</v>
      </c>
      <c r="G55" s="45"/>
      <c r="H55" s="6" t="s">
        <v>25</v>
      </c>
      <c r="I55" s="22">
        <v>100000</v>
      </c>
    </row>
    <row r="56" spans="1:10" x14ac:dyDescent="0.3">
      <c r="A56" s="58">
        <v>45369</v>
      </c>
      <c r="B56" s="27" t="s">
        <v>167</v>
      </c>
      <c r="C56" s="53" t="s">
        <v>168</v>
      </c>
      <c r="D56" s="70" t="s">
        <v>39</v>
      </c>
      <c r="E56" s="55">
        <v>202271</v>
      </c>
      <c r="F56" s="71">
        <v>11</v>
      </c>
      <c r="G56" s="45"/>
      <c r="H56" s="6" t="s">
        <v>25</v>
      </c>
      <c r="I56" s="22">
        <v>100000</v>
      </c>
      <c r="J56">
        <v>200000</v>
      </c>
    </row>
    <row r="57" spans="1:10" x14ac:dyDescent="0.3">
      <c r="I57" s="80">
        <f>SUBTOTAL(9,I5:I56)</f>
        <v>1804000</v>
      </c>
    </row>
  </sheetData>
  <autoFilter ref="A4:J56" xr:uid="{FAE1EAFE-2447-4DE3-B0C1-58E3FA2D68F9}">
    <filterColumn colId="0">
      <filters>
        <dateGroupItem year="2024" month="3" day="18" dateTimeGrouping="day"/>
      </filters>
    </filterColumn>
  </autoFilter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Gral</vt:lpstr>
      <vt:lpstr>DIARIOxBLOQUE</vt:lpstr>
      <vt:lpstr>DIARIOxBLOQUE!Área_de_impresión</vt:lpstr>
      <vt:lpstr>Gral!Área_de_impresión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2024-11-06T14:59:04Z</dcterms:modified>
  <cp:category/>
  <cp:contentStatus/>
</cp:coreProperties>
</file>